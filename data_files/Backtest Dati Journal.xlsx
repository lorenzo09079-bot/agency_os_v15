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ocuments\"/>
    </mc:Choice>
  </mc:AlternateContent>
  <xr:revisionPtr revIDLastSave="0" documentId="13_ncr:1_{C20B0607-0FED-4845-A3BF-36BEE26C96CA}" xr6:coauthVersionLast="47" xr6:coauthVersionMax="47" xr10:uidLastSave="{00000000-0000-0000-0000-000000000000}"/>
  <bookViews>
    <workbookView xWindow="28680" yWindow="-120" windowWidth="29040" windowHeight="15720" xr2:uid="{BEC9C758-F1FE-4A4E-A69F-476A68B808E8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1" i="1" l="1"/>
  <c r="J61" i="1"/>
  <c r="S60" i="1"/>
  <c r="J60" i="1"/>
  <c r="S59" i="1"/>
  <c r="J59" i="1"/>
  <c r="S58" i="1"/>
  <c r="J58" i="1"/>
  <c r="S57" i="1"/>
  <c r="J57" i="1"/>
  <c r="S56" i="1"/>
  <c r="J56" i="1"/>
  <c r="S55" i="1"/>
  <c r="J55" i="1"/>
  <c r="S54" i="1"/>
  <c r="J54" i="1"/>
  <c r="S53" i="1"/>
  <c r="J53" i="1"/>
  <c r="J52" i="1"/>
  <c r="J51" i="1"/>
  <c r="J50" i="1"/>
  <c r="J49" i="1"/>
  <c r="J48" i="1"/>
  <c r="J47" i="1"/>
  <c r="J46" i="1"/>
  <c r="J45" i="1"/>
  <c r="J44" i="1"/>
  <c r="S43" i="1"/>
  <c r="J43" i="1"/>
  <c r="J42" i="1"/>
  <c r="J41" i="1"/>
  <c r="J40" i="1"/>
  <c r="J39" i="1"/>
  <c r="J38" i="1"/>
  <c r="S37" i="1"/>
  <c r="J37" i="1"/>
  <c r="J36" i="1"/>
  <c r="S26" i="1"/>
  <c r="S35" i="1"/>
  <c r="J35" i="1"/>
  <c r="J34" i="1"/>
  <c r="J33" i="1"/>
  <c r="J32" i="1"/>
  <c r="J31" i="1"/>
  <c r="J30" i="1"/>
  <c r="J29" i="1"/>
  <c r="J28" i="1"/>
  <c r="J27" i="1"/>
  <c r="S27" i="1"/>
  <c r="S28" i="1"/>
  <c r="S29" i="1"/>
  <c r="S30" i="1"/>
  <c r="S31" i="1"/>
  <c r="S32" i="1"/>
  <c r="S33" i="1"/>
  <c r="S34" i="1"/>
  <c r="S36" i="1"/>
  <c r="S38" i="1"/>
  <c r="S39" i="1"/>
  <c r="S40" i="1"/>
  <c r="S41" i="1"/>
  <c r="S42" i="1"/>
  <c r="S44" i="1"/>
  <c r="S45" i="1"/>
  <c r="S46" i="1"/>
  <c r="S47" i="1"/>
  <c r="S48" i="1"/>
  <c r="S49" i="1"/>
  <c r="S50" i="1"/>
  <c r="S51" i="1"/>
  <c r="S52" i="1"/>
  <c r="J26" i="1"/>
  <c r="S25" i="1"/>
  <c r="J25" i="1"/>
  <c r="S24" i="1"/>
  <c r="J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S3" i="1"/>
  <c r="J3" i="1"/>
  <c r="J2" i="1"/>
  <c r="S2" i="1"/>
</calcChain>
</file>

<file path=xl/sharedStrings.xml><?xml version="1.0" encoding="utf-8"?>
<sst xmlns="http://schemas.openxmlformats.org/spreadsheetml/2006/main" count="867" uniqueCount="347">
  <si>
    <t>Direzione</t>
  </si>
  <si>
    <t>Pro/Counter BIAS</t>
  </si>
  <si>
    <t>Orario Fill (NYT)</t>
  </si>
  <si>
    <t>Entry Price</t>
  </si>
  <si>
    <t>SL Price</t>
  </si>
  <si>
    <t>DD (MAE)</t>
  </si>
  <si>
    <t>EOD</t>
  </si>
  <si>
    <t>Esito</t>
  </si>
  <si>
    <t>Short</t>
  </si>
  <si>
    <t>Pro</t>
  </si>
  <si>
    <t>Data (gg/mm/yyyy)</t>
  </si>
  <si>
    <t>Giorno</t>
  </si>
  <si>
    <t>Martedì</t>
  </si>
  <si>
    <t>Bearish</t>
  </si>
  <si>
    <t>Asset</t>
  </si>
  <si>
    <t>EUR/USD</t>
  </si>
  <si>
    <t>BE</t>
  </si>
  <si>
    <t>TP</t>
  </si>
  <si>
    <t>Risk Distance</t>
  </si>
  <si>
    <t>Peak Pre-Return</t>
  </si>
  <si>
    <t>Exit Runner</t>
  </si>
  <si>
    <t>R-Netto</t>
  </si>
  <si>
    <t>HTF BIAS (Weekly)</t>
  </si>
  <si>
    <t>Lunedì</t>
  </si>
  <si>
    <t>Mercoledì</t>
  </si>
  <si>
    <t>Giovedì</t>
  </si>
  <si>
    <t>Venerdì</t>
  </si>
  <si>
    <t>NAS100</t>
  </si>
  <si>
    <t>Long</t>
  </si>
  <si>
    <t>Counter</t>
  </si>
  <si>
    <t>Bullish</t>
  </si>
  <si>
    <t>Exit TP1 (1 = Si 2 = No)</t>
  </si>
  <si>
    <t>SL</t>
  </si>
  <si>
    <t>16592,0</t>
  </si>
  <si>
    <t>16590,8</t>
  </si>
  <si>
    <t>16609,2</t>
  </si>
  <si>
    <t>16696,4</t>
  </si>
  <si>
    <t>16689,6</t>
  </si>
  <si>
    <t>16678,0</t>
  </si>
  <si>
    <t>Picco prezzo giornata (MFE)</t>
  </si>
  <si>
    <t>MAE after MFE giornata</t>
  </si>
  <si>
    <t>16807,3</t>
  </si>
  <si>
    <t>16823,5</t>
  </si>
  <si>
    <t>16782,4</t>
  </si>
  <si>
    <t>16862,8</t>
  </si>
  <si>
    <t>16786,4</t>
  </si>
  <si>
    <t>16801,2</t>
  </si>
  <si>
    <t>16829,6</t>
  </si>
  <si>
    <t>Max Potential</t>
  </si>
  <si>
    <t>16623,4</t>
  </si>
  <si>
    <t>16607,4</t>
  </si>
  <si>
    <t>16690,4</t>
  </si>
  <si>
    <t>16816,4</t>
  </si>
  <si>
    <t>16825,2</t>
  </si>
  <si>
    <t>16831,6</t>
  </si>
  <si>
    <t>16838,6</t>
  </si>
  <si>
    <t>16774,4</t>
  </si>
  <si>
    <t>16751,6</t>
  </si>
  <si>
    <t>16783,0</t>
  </si>
  <si>
    <t>16846,8</t>
  </si>
  <si>
    <t>16636,2</t>
  </si>
  <si>
    <t>16568,2</t>
  </si>
  <si>
    <t>16768,6</t>
  </si>
  <si>
    <t>16616,8</t>
  </si>
  <si>
    <t>16751,8</t>
  </si>
  <si>
    <t>16755,2</t>
  </si>
  <si>
    <t>16894,6</t>
  </si>
  <si>
    <t>16872,4</t>
  </si>
  <si>
    <t>16909,6</t>
  </si>
  <si>
    <t>16894,0</t>
  </si>
  <si>
    <t>16889,1</t>
  </si>
  <si>
    <t>16992,6</t>
  </si>
  <si>
    <t>17129,4</t>
  </si>
  <si>
    <t>17110,8</t>
  </si>
  <si>
    <t>17320,0</t>
  </si>
  <si>
    <t>17119,8</t>
  </si>
  <si>
    <t>17282,8</t>
  </si>
  <si>
    <t>17287,5</t>
  </si>
  <si>
    <t>17325,8</t>
  </si>
  <si>
    <t>17597,2</t>
  </si>
  <si>
    <t>17581,2</t>
  </si>
  <si>
    <t>17608,4</t>
  </si>
  <si>
    <t>17595,2</t>
  </si>
  <si>
    <t>17595,4</t>
  </si>
  <si>
    <t>17518,2</t>
  </si>
  <si>
    <t>17580,0</t>
  </si>
  <si>
    <t>17565,2</t>
  </si>
  <si>
    <t>17586,2</t>
  </si>
  <si>
    <t>17530,8</t>
  </si>
  <si>
    <t>17468,3</t>
  </si>
  <si>
    <t>17432,0</t>
  </si>
  <si>
    <t>17421,8</t>
  </si>
  <si>
    <t>17450,2</t>
  </si>
  <si>
    <t>17422,8</t>
  </si>
  <si>
    <t>17467,2</t>
  </si>
  <si>
    <t>17446,0</t>
  </si>
  <si>
    <t>17600,6</t>
  </si>
  <si>
    <t>17196,8</t>
  </si>
  <si>
    <t>17228,0</t>
  </si>
  <si>
    <t>17160,6</t>
  </si>
  <si>
    <t>17345,0</t>
  </si>
  <si>
    <t>17660,2</t>
  </si>
  <si>
    <t>17639,6</t>
  </si>
  <si>
    <t>17662,8</t>
  </si>
  <si>
    <t>17763,6</t>
  </si>
  <si>
    <t>17753,4</t>
  </si>
  <si>
    <t>17728,2</t>
  </si>
  <si>
    <t>17816,8</t>
  </si>
  <si>
    <t>17744,4</t>
  </si>
  <si>
    <t>17778,8</t>
  </si>
  <si>
    <t>17785,0</t>
  </si>
  <si>
    <t>17904,3</t>
  </si>
  <si>
    <t>17885,4</t>
  </si>
  <si>
    <t>17914,4</t>
  </si>
  <si>
    <t>17903,6</t>
  </si>
  <si>
    <t>17962,4</t>
  </si>
  <si>
    <t>17951,4</t>
  </si>
  <si>
    <t>17929,6</t>
  </si>
  <si>
    <t>17963,6</t>
  </si>
  <si>
    <t>17943,8</t>
  </si>
  <si>
    <t>17716,0</t>
  </si>
  <si>
    <t>17697,6</t>
  </si>
  <si>
    <t>17803,4</t>
  </si>
  <si>
    <t>17841,4</t>
  </si>
  <si>
    <t>17820,7</t>
  </si>
  <si>
    <t>17849,0</t>
  </si>
  <si>
    <t>17848,2</t>
  </si>
  <si>
    <t>17622,6</t>
  </si>
  <si>
    <t>17584,6</t>
  </si>
  <si>
    <t>17632,8</t>
  </si>
  <si>
    <t>17561,6</t>
  </si>
  <si>
    <t>17896,4</t>
  </si>
  <si>
    <t>17936,6</t>
  </si>
  <si>
    <t>17851,4</t>
  </si>
  <si>
    <t>17815,2</t>
  </si>
  <si>
    <t>17924,8</t>
  </si>
  <si>
    <t>17841,5</t>
  </si>
  <si>
    <t>17845,9</t>
  </si>
  <si>
    <t>17995,8</t>
  </si>
  <si>
    <t>17964,0</t>
  </si>
  <si>
    <t>17950,4</t>
  </si>
  <si>
    <t>17988,3</t>
  </si>
  <si>
    <t>17961,9</t>
  </si>
  <si>
    <t>17939,1</t>
  </si>
  <si>
    <t>17966,7</t>
  </si>
  <si>
    <t>17939,3</t>
  </si>
  <si>
    <t>17988,7</t>
  </si>
  <si>
    <t>19978,8</t>
  </si>
  <si>
    <t>17979,5</t>
  </si>
  <si>
    <t>17900,2</t>
  </si>
  <si>
    <t>17920,8</t>
  </si>
  <si>
    <t>17861,8</t>
  </si>
  <si>
    <t>17909,6</t>
  </si>
  <si>
    <t>17906,4</t>
  </si>
  <si>
    <t>17886,0</t>
  </si>
  <si>
    <t>18189,3</t>
  </si>
  <si>
    <t>18176,1</t>
  </si>
  <si>
    <t>18335,3</t>
  </si>
  <si>
    <t>18315,2</t>
  </si>
  <si>
    <t>18189,1</t>
  </si>
  <si>
    <t>18302,0</t>
  </si>
  <si>
    <t>17915,5</t>
  </si>
  <si>
    <t>17943,9</t>
  </si>
  <si>
    <t>17887,9</t>
  </si>
  <si>
    <t>17909,9</t>
  </si>
  <si>
    <t>17922,9</t>
  </si>
  <si>
    <t>17902,4</t>
  </si>
  <si>
    <t>17987,8</t>
  </si>
  <si>
    <t>17911,8</t>
  </si>
  <si>
    <t>17953,7</t>
  </si>
  <si>
    <t>17970,3</t>
  </si>
  <si>
    <t>18178,2</t>
  </si>
  <si>
    <t>18152,3</t>
  </si>
  <si>
    <t>18247,8</t>
  </si>
  <si>
    <t>18134,8</t>
  </si>
  <si>
    <t>18109,0</t>
  </si>
  <si>
    <t>18147,5</t>
  </si>
  <si>
    <t>18054,0</t>
  </si>
  <si>
    <t>18093,2</t>
  </si>
  <si>
    <t>18051,0</t>
  </si>
  <si>
    <t>18162,2</t>
  </si>
  <si>
    <t>18067,0</t>
  </si>
  <si>
    <t>18013,9</t>
  </si>
  <si>
    <t>18310,2</t>
  </si>
  <si>
    <t>18333,0</t>
  </si>
  <si>
    <t>18363,9</t>
  </si>
  <si>
    <t>18373,2</t>
  </si>
  <si>
    <t>18349,1</t>
  </si>
  <si>
    <t>18407,4</t>
  </si>
  <si>
    <t>18366,8</t>
  </si>
  <si>
    <t>18252,5</t>
  </si>
  <si>
    <t>18300,9</t>
  </si>
  <si>
    <t>18287,0</t>
  </si>
  <si>
    <t>18311,6</t>
  </si>
  <si>
    <t>18289,4</t>
  </si>
  <si>
    <t>18279,1</t>
  </si>
  <si>
    <t>18316,7</t>
  </si>
  <si>
    <t>18288,6</t>
  </si>
  <si>
    <t>18299,7</t>
  </si>
  <si>
    <t>19269,5</t>
  </si>
  <si>
    <t>18062,7</t>
  </si>
  <si>
    <t>18090,9</t>
  </si>
  <si>
    <t>18022,7</t>
  </si>
  <si>
    <t>18067,7</t>
  </si>
  <si>
    <t>18151,5</t>
  </si>
  <si>
    <t>18171,3</t>
  </si>
  <si>
    <t>18157,9</t>
  </si>
  <si>
    <t>18189,5</t>
  </si>
  <si>
    <t>18171,2</t>
  </si>
  <si>
    <t>18195,7</t>
  </si>
  <si>
    <t>17712,9</t>
  </si>
  <si>
    <t>17675,1</t>
  </si>
  <si>
    <t>17789,3</t>
  </si>
  <si>
    <t>17687,8</t>
  </si>
  <si>
    <t>17677,4</t>
  </si>
  <si>
    <t>17736,3</t>
  </si>
  <si>
    <t>17734,5</t>
  </si>
  <si>
    <t>17806,3</t>
  </si>
  <si>
    <t>17826,2</t>
  </si>
  <si>
    <t>17666,5</t>
  </si>
  <si>
    <t>17814,0</t>
  </si>
  <si>
    <t>17719,1</t>
  </si>
  <si>
    <t>17516,2</t>
  </si>
  <si>
    <t>17696,8</t>
  </si>
  <si>
    <t>17338,7</t>
  </si>
  <si>
    <t>17382,8</t>
  </si>
  <si>
    <t>17208,0</t>
  </si>
  <si>
    <t>17351,5</t>
  </si>
  <si>
    <t>17310,8</t>
  </si>
  <si>
    <t>17288,6</t>
  </si>
  <si>
    <t>17053,0</t>
  </si>
  <si>
    <t>17275,3</t>
  </si>
  <si>
    <t>17155,8</t>
  </si>
  <si>
    <t>17177,8</t>
  </si>
  <si>
    <t>17139,3</t>
  </si>
  <si>
    <t>17327,9</t>
  </si>
  <si>
    <t>17231,3</t>
  </si>
  <si>
    <t>17453,3</t>
  </si>
  <si>
    <t>17431,4</t>
  </si>
  <si>
    <t>17487,9</t>
  </si>
  <si>
    <t>17994,9</t>
  </si>
  <si>
    <t>17981,5</t>
  </si>
  <si>
    <t>18012,4</t>
  </si>
  <si>
    <t>17990,1</t>
  </si>
  <si>
    <t>18001,3</t>
  </si>
  <si>
    <t>18013,1</t>
  </si>
  <si>
    <t>18103,5</t>
  </si>
  <si>
    <t>18082,4</t>
  </si>
  <si>
    <t>18167,6</t>
  </si>
  <si>
    <t>18085,8</t>
  </si>
  <si>
    <t>18099,0</t>
  </si>
  <si>
    <t>18134,1</t>
  </si>
  <si>
    <t>18076,7</t>
  </si>
  <si>
    <t>18091,5</t>
  </si>
  <si>
    <t>18033,4</t>
  </si>
  <si>
    <t>18084,3</t>
  </si>
  <si>
    <t>19119,9</t>
  </si>
  <si>
    <t>18061,8</t>
  </si>
  <si>
    <t>18210,9</t>
  </si>
  <si>
    <t>18221,4</t>
  </si>
  <si>
    <t>18188,4</t>
  </si>
  <si>
    <t>18214,3</t>
  </si>
  <si>
    <t>18219,3</t>
  </si>
  <si>
    <t>18198,8</t>
  </si>
  <si>
    <t>18209,4</t>
  </si>
  <si>
    <t>18654,1</t>
  </si>
  <si>
    <t>18638,3</t>
  </si>
  <si>
    <t>18660,6</t>
  </si>
  <si>
    <t>18659,1</t>
  </si>
  <si>
    <t>18569,1</t>
  </si>
  <si>
    <t>18554,2</t>
  </si>
  <si>
    <t>18538,9</t>
  </si>
  <si>
    <t>18595,2</t>
  </si>
  <si>
    <t>18540,3</t>
  </si>
  <si>
    <t>18560,5</t>
  </si>
  <si>
    <t>18560,0</t>
  </si>
  <si>
    <t>18667,4</t>
  </si>
  <si>
    <t>18651,1</t>
  </si>
  <si>
    <t>18716,0</t>
  </si>
  <si>
    <t>18653,9</t>
  </si>
  <si>
    <t>18678,9</t>
  </si>
  <si>
    <t>18690,8</t>
  </si>
  <si>
    <t>18691,5</t>
  </si>
  <si>
    <t>18789,9</t>
  </si>
  <si>
    <t>18772,0</t>
  </si>
  <si>
    <t>18805,1</t>
  </si>
  <si>
    <t>18802,3</t>
  </si>
  <si>
    <t>18759,5</t>
  </si>
  <si>
    <t>18712,5</t>
  </si>
  <si>
    <t>18692,0</t>
  </si>
  <si>
    <t>18721,0</t>
  </si>
  <si>
    <t>18554,9</t>
  </si>
  <si>
    <t>19588,0</t>
  </si>
  <si>
    <t>19625,8</t>
  </si>
  <si>
    <t>19543,6</t>
  </si>
  <si>
    <t>19612,8</t>
  </si>
  <si>
    <t>19575,5</t>
  </si>
  <si>
    <t>19667,8</t>
  </si>
  <si>
    <t>18563,0</t>
  </si>
  <si>
    <t>18520,0</t>
  </si>
  <si>
    <t>18708,8</t>
  </si>
  <si>
    <t>18523,8</t>
  </si>
  <si>
    <t>18592,0</t>
  </si>
  <si>
    <t>18662,5</t>
  </si>
  <si>
    <t>18606,3</t>
  </si>
  <si>
    <t>18627,8</t>
  </si>
  <si>
    <t>18797,3</t>
  </si>
  <si>
    <t>18774,9</t>
  </si>
  <si>
    <t>18818,0</t>
  </si>
  <si>
    <t>19038,9</t>
  </si>
  <si>
    <t>19677,6</t>
  </si>
  <si>
    <t>19620,6</t>
  </si>
  <si>
    <t>19990,1</t>
  </si>
  <si>
    <t>19664,3</t>
  </si>
  <si>
    <t>19888,5</t>
  </si>
  <si>
    <t>19684,6</t>
  </si>
  <si>
    <t>19900,5</t>
  </si>
  <si>
    <t>19903,8</t>
  </si>
  <si>
    <t>19855,4</t>
  </si>
  <si>
    <t>19900,4</t>
  </si>
  <si>
    <t>19959,4</t>
  </si>
  <si>
    <t>19950,1</t>
  </si>
  <si>
    <t>20099,9</t>
  </si>
  <si>
    <t>19988,1</t>
  </si>
  <si>
    <t>19973,6</t>
  </si>
  <si>
    <t>19985,5</t>
  </si>
  <si>
    <t>2094,6</t>
  </si>
  <si>
    <t>19998,0</t>
  </si>
  <si>
    <t>19743,2</t>
  </si>
  <si>
    <t>19776,3</t>
  </si>
  <si>
    <t>19735,0</t>
  </si>
  <si>
    <t>19748,2</t>
  </si>
  <si>
    <t>19678,2</t>
  </si>
  <si>
    <t>19765,5</t>
  </si>
  <si>
    <t>19524,8</t>
  </si>
  <si>
    <t>19701,7</t>
  </si>
  <si>
    <t>19520,4</t>
  </si>
  <si>
    <t>19654,9</t>
  </si>
  <si>
    <t>19618,3</t>
  </si>
  <si>
    <t>19629,2</t>
  </si>
  <si>
    <t>19600,0</t>
  </si>
  <si>
    <t>19750,2</t>
  </si>
  <si>
    <t>19731,9</t>
  </si>
  <si>
    <t>19696,7</t>
  </si>
  <si>
    <t>19812,6</t>
  </si>
  <si>
    <t>19726,0</t>
  </si>
  <si>
    <t>19789,2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</si>
</sst>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20" fontId="0" fillId="0" borderId="0" xfId="0" applyNumberForma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20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01EF-CE60-4D49-BE56-4A72C123D0CC}">
  <dimension ref="A1:T61"/>
  <sheetViews>
    <sheetView tabSelected="1" topLeftCell="K43" zoomScaleNormal="100" workbookViewId="0">
      <selection activeCell="T64" sqref="T64"/>
    </sheetView>
  </sheetViews>
  <sheetFormatPr defaultRowHeight="15" x14ac:dyDescent="0.25"/>
  <cols>
    <col min="1" max="1" width="18.28515625" bestFit="1" customWidth="1"/>
    <col min="2" max="2" width="16.5703125" bestFit="1" customWidth="1"/>
    <col min="3" max="3" width="16.5703125" customWidth="1"/>
    <col min="4" max="4" width="16.140625" bestFit="1" customWidth="1"/>
    <col min="5" max="5" width="10.42578125" bestFit="1" customWidth="1"/>
    <col min="6" max="6" width="16.5703125" bestFit="1" customWidth="1"/>
    <col min="7" max="7" width="17.85546875" bestFit="1" customWidth="1"/>
    <col min="8" max="9" width="15.7109375" style="6" customWidth="1"/>
    <col min="10" max="10" width="16.7109375" customWidth="1"/>
    <col min="11" max="11" width="25.85546875" style="6" bestFit="1" customWidth="1"/>
    <col min="12" max="12" width="19.28515625" style="6" bestFit="1" customWidth="1"/>
    <col min="13" max="13" width="22.28515625" style="6" bestFit="1" customWidth="1"/>
    <col min="14" max="14" width="19.28515625" style="6" customWidth="1"/>
    <col min="15" max="15" width="32" style="6" bestFit="1" customWidth="1"/>
    <col min="17" max="17" width="23" customWidth="1"/>
    <col min="18" max="18" width="32" style="6" bestFit="1" customWidth="1"/>
    <col min="19" max="19" width="57.140625" style="6" customWidth="1"/>
    <col min="20" max="20" width="23.28515625" customWidth="1"/>
  </cols>
  <sheetData>
    <row r="1" spans="1:20" x14ac:dyDescent="0.25">
      <c r="A1" s="1" t="s">
        <v>10</v>
      </c>
      <c r="B1" s="1" t="s">
        <v>11</v>
      </c>
      <c r="C1" s="1" t="s">
        <v>14</v>
      </c>
      <c r="D1" s="1" t="s">
        <v>2</v>
      </c>
      <c r="E1" s="1" t="s">
        <v>0</v>
      </c>
      <c r="F1" s="1" t="s">
        <v>1</v>
      </c>
      <c r="G1" s="1" t="s">
        <v>22</v>
      </c>
      <c r="H1" s="1" t="s">
        <v>3</v>
      </c>
      <c r="I1" s="1" t="s">
        <v>4</v>
      </c>
      <c r="J1" s="1" t="s">
        <v>18</v>
      </c>
      <c r="K1" s="1" t="s">
        <v>39</v>
      </c>
      <c r="L1" s="1" t="s">
        <v>5</v>
      </c>
      <c r="M1" s="1" t="s">
        <v>40</v>
      </c>
      <c r="N1" s="1" t="s">
        <v>19</v>
      </c>
      <c r="O1" s="1" t="s">
        <v>6</v>
      </c>
      <c r="P1" s="1" t="s">
        <v>7</v>
      </c>
      <c r="Q1" s="1" t="s">
        <v>31</v>
      </c>
      <c r="R1" s="1" t="s">
        <v>20</v>
      </c>
      <c r="S1" s="1" t="s">
        <v>21</v>
      </c>
      <c r="T1" s="1" t="s">
        <v>48</v>
      </c>
    </row>
    <row r="2" spans="1:20" x14ac:dyDescent="0.25">
      <c r="A2" s="4">
        <v>45300</v>
      </c>
      <c r="B2" t="s">
        <v>12</v>
      </c>
      <c r="C2" t="s">
        <v>27</v>
      </c>
      <c r="D2" s="2">
        <v>0.45694444444444443</v>
      </c>
      <c r="E2" t="s">
        <v>28</v>
      </c>
      <c r="F2" t="s">
        <v>9</v>
      </c>
      <c r="G2" s="2" t="s">
        <v>30</v>
      </c>
      <c r="H2" s="6" t="s">
        <v>33</v>
      </c>
      <c r="I2">
        <v>16574.8</v>
      </c>
      <c r="J2">
        <f>ABS(H2-I2)</f>
        <v>17.200000000000728</v>
      </c>
      <c r="K2" s="6" t="s">
        <v>49</v>
      </c>
      <c r="L2" s="6" t="s">
        <v>34</v>
      </c>
      <c r="M2" s="6" t="s">
        <v>50</v>
      </c>
      <c r="O2" s="6" t="s">
        <v>36</v>
      </c>
      <c r="P2" t="s">
        <v>17</v>
      </c>
      <c r="Q2" s="6">
        <v>1</v>
      </c>
      <c r="R2" s="7" t="s">
        <v>35</v>
      </c>
      <c r="S2" s="3">
        <f t="shared" ref="S2:S25" si="0">IF(Q2=1, 1.1375 + (0.35 * IF(E2="Long",(R2-H2)/ABS(H2-I2),(H2-R2)/ABS(H2-I2))), IF(E2="Long",(R2-H2)/ABS(H2-I2),(H2-R2)/ABS(H2-I2)))</f>
        <v>1.4874999999999998</v>
      </c>
      <c r="T2">
        <v>16732.8</v>
      </c>
    </row>
    <row r="3" spans="1:20" x14ac:dyDescent="0.25">
      <c r="A3" s="4">
        <v>45301</v>
      </c>
      <c r="B3" t="s">
        <v>24</v>
      </c>
      <c r="C3" t="s">
        <v>27</v>
      </c>
      <c r="D3" s="2">
        <v>0.41805555555555557</v>
      </c>
      <c r="E3" t="s">
        <v>28</v>
      </c>
      <c r="F3" t="s">
        <v>9</v>
      </c>
      <c r="G3" s="2" t="s">
        <v>30</v>
      </c>
      <c r="H3" s="6" t="s">
        <v>37</v>
      </c>
      <c r="I3" s="6" t="s">
        <v>38</v>
      </c>
      <c r="J3">
        <f>ABS(H3-I3)</f>
        <v>11.599999999998545</v>
      </c>
      <c r="K3" s="6" t="s">
        <v>51</v>
      </c>
      <c r="L3" s="6" t="s">
        <v>38</v>
      </c>
      <c r="M3" s="6" t="s">
        <v>38</v>
      </c>
      <c r="O3" s="6" t="s">
        <v>41</v>
      </c>
      <c r="P3" t="s">
        <v>32</v>
      </c>
      <c r="Q3">
        <v>0</v>
      </c>
      <c r="R3" s="6" t="s">
        <v>38</v>
      </c>
      <c r="S3" s="3">
        <f t="shared" si="0"/>
        <v>-1</v>
      </c>
      <c r="T3">
        <v>16848.2</v>
      </c>
    </row>
    <row r="4" spans="1:20" x14ac:dyDescent="0.25">
      <c r="A4" s="4">
        <v>45303</v>
      </c>
      <c r="B4" t="s">
        <v>26</v>
      </c>
      <c r="C4" t="s">
        <v>27</v>
      </c>
      <c r="D4" s="2">
        <v>0.4826388888888889</v>
      </c>
      <c r="E4" t="s">
        <v>28</v>
      </c>
      <c r="F4" t="s">
        <v>9</v>
      </c>
      <c r="G4" s="2" t="s">
        <v>30</v>
      </c>
      <c r="H4" s="6" t="s">
        <v>42</v>
      </c>
      <c r="I4" s="6" t="s">
        <v>43</v>
      </c>
      <c r="J4">
        <f>ABS(H4-I4)</f>
        <v>41.099999999998545</v>
      </c>
      <c r="K4" s="6" t="s">
        <v>44</v>
      </c>
      <c r="L4" s="6" t="s">
        <v>45</v>
      </c>
      <c r="M4" s="6" t="s">
        <v>46</v>
      </c>
      <c r="N4" s="6" t="s">
        <v>44</v>
      </c>
      <c r="O4" s="6" t="s">
        <v>47</v>
      </c>
      <c r="P4" t="s">
        <v>16</v>
      </c>
      <c r="Q4">
        <v>0</v>
      </c>
      <c r="R4" s="6" t="s">
        <v>42</v>
      </c>
      <c r="S4" s="3">
        <f t="shared" si="0"/>
        <v>0</v>
      </c>
      <c r="T4" s="6" t="s">
        <v>44</v>
      </c>
    </row>
    <row r="5" spans="1:20" x14ac:dyDescent="0.25">
      <c r="A5" s="4">
        <v>45306</v>
      </c>
      <c r="B5" t="s">
        <v>23</v>
      </c>
      <c r="C5" t="s">
        <v>27</v>
      </c>
      <c r="D5" s="2">
        <v>0.39930555555555558</v>
      </c>
      <c r="E5" t="s">
        <v>28</v>
      </c>
      <c r="F5" t="s">
        <v>9</v>
      </c>
      <c r="G5" s="2" t="s">
        <v>30</v>
      </c>
      <c r="H5" s="6" t="s">
        <v>53</v>
      </c>
      <c r="I5" s="6" t="s">
        <v>52</v>
      </c>
      <c r="J5">
        <f t="shared" ref="J5:J61" si="1">ABS(H5-I5)</f>
        <v>8.7999999999992724</v>
      </c>
      <c r="K5" s="6" t="s">
        <v>54</v>
      </c>
      <c r="L5" s="6" t="s">
        <v>52</v>
      </c>
      <c r="M5" s="6" t="s">
        <v>52</v>
      </c>
      <c r="N5" s="6" t="s">
        <v>54</v>
      </c>
      <c r="O5" s="6" t="s">
        <v>55</v>
      </c>
      <c r="P5" t="s">
        <v>16</v>
      </c>
      <c r="Q5">
        <v>0</v>
      </c>
      <c r="R5" s="6" t="s">
        <v>53</v>
      </c>
      <c r="S5" s="3">
        <f t="shared" si="0"/>
        <v>0</v>
      </c>
      <c r="T5">
        <v>16847.8</v>
      </c>
    </row>
    <row r="6" spans="1:20" x14ac:dyDescent="0.25">
      <c r="A6" s="4">
        <v>45307</v>
      </c>
      <c r="B6" t="s">
        <v>12</v>
      </c>
      <c r="C6" t="s">
        <v>27</v>
      </c>
      <c r="D6" s="2">
        <v>0.39930555555555558</v>
      </c>
      <c r="E6" t="s">
        <v>28</v>
      </c>
      <c r="F6" t="s">
        <v>9</v>
      </c>
      <c r="G6" s="2" t="s">
        <v>30</v>
      </c>
      <c r="H6" s="6" t="s">
        <v>56</v>
      </c>
      <c r="I6" s="6" t="s">
        <v>57</v>
      </c>
      <c r="J6">
        <f t="shared" si="1"/>
        <v>22.80000000000291</v>
      </c>
      <c r="K6" s="6" t="s">
        <v>58</v>
      </c>
      <c r="L6" s="6" t="s">
        <v>57</v>
      </c>
      <c r="M6" s="6" t="s">
        <v>57</v>
      </c>
      <c r="N6" s="6" t="s">
        <v>58</v>
      </c>
      <c r="O6" s="6" t="s">
        <v>59</v>
      </c>
      <c r="P6" t="s">
        <v>32</v>
      </c>
      <c r="Q6">
        <v>0</v>
      </c>
      <c r="R6" s="6" t="s">
        <v>57</v>
      </c>
      <c r="S6" s="6">
        <f t="shared" si="0"/>
        <v>-1</v>
      </c>
      <c r="T6">
        <v>16902.599999999999</v>
      </c>
    </row>
    <row r="7" spans="1:20" x14ac:dyDescent="0.25">
      <c r="A7" s="4">
        <v>45308</v>
      </c>
      <c r="B7" t="s">
        <v>24</v>
      </c>
      <c r="C7" t="s">
        <v>27</v>
      </c>
      <c r="D7" s="2">
        <v>0.5625</v>
      </c>
      <c r="E7" t="s">
        <v>28</v>
      </c>
      <c r="F7" t="s">
        <v>9</v>
      </c>
      <c r="G7" s="2" t="s">
        <v>30</v>
      </c>
      <c r="H7" s="6" t="s">
        <v>60</v>
      </c>
      <c r="I7" s="6" t="s">
        <v>61</v>
      </c>
      <c r="J7">
        <f t="shared" si="1"/>
        <v>68</v>
      </c>
      <c r="K7" s="6" t="s">
        <v>62</v>
      </c>
      <c r="L7" s="6" t="s">
        <v>63</v>
      </c>
      <c r="M7" s="6" t="s">
        <v>64</v>
      </c>
      <c r="O7" s="6" t="s">
        <v>64</v>
      </c>
      <c r="P7" t="s">
        <v>17</v>
      </c>
      <c r="Q7">
        <v>1</v>
      </c>
      <c r="R7" s="6" t="s">
        <v>65</v>
      </c>
      <c r="S7" s="6">
        <f t="shared" si="0"/>
        <v>1.75</v>
      </c>
      <c r="T7">
        <v>16768.599999999999</v>
      </c>
    </row>
    <row r="8" spans="1:20" x14ac:dyDescent="0.25">
      <c r="A8" s="4">
        <v>45309</v>
      </c>
      <c r="B8" t="s">
        <v>25</v>
      </c>
      <c r="C8" t="s">
        <v>27</v>
      </c>
      <c r="D8" s="2">
        <v>0.40972222222222221</v>
      </c>
      <c r="E8" t="s">
        <v>28</v>
      </c>
      <c r="F8" t="s">
        <v>9</v>
      </c>
      <c r="G8" s="2" t="s">
        <v>30</v>
      </c>
      <c r="H8" s="6" t="s">
        <v>66</v>
      </c>
      <c r="I8" s="6" t="s">
        <v>67</v>
      </c>
      <c r="J8">
        <f t="shared" si="1"/>
        <v>22.19999999999709</v>
      </c>
      <c r="K8" s="6" t="s">
        <v>68</v>
      </c>
      <c r="L8" s="6" t="s">
        <v>69</v>
      </c>
      <c r="M8" s="6" t="s">
        <v>70</v>
      </c>
      <c r="N8" s="6" t="s">
        <v>68</v>
      </c>
      <c r="O8" s="6" t="s">
        <v>71</v>
      </c>
      <c r="P8" t="s">
        <v>16</v>
      </c>
      <c r="Q8">
        <v>0</v>
      </c>
      <c r="R8" s="6" t="s">
        <v>66</v>
      </c>
      <c r="S8" s="6">
        <f t="shared" si="0"/>
        <v>0</v>
      </c>
      <c r="T8">
        <v>17009.400000000001</v>
      </c>
    </row>
    <row r="9" spans="1:20" x14ac:dyDescent="0.25">
      <c r="A9" s="4">
        <v>45310</v>
      </c>
      <c r="B9" t="s">
        <v>26</v>
      </c>
      <c r="C9" t="s">
        <v>27</v>
      </c>
      <c r="D9" s="2">
        <v>0.50694444444444442</v>
      </c>
      <c r="E9" t="s">
        <v>28</v>
      </c>
      <c r="F9" t="s">
        <v>9</v>
      </c>
      <c r="G9" s="2" t="s">
        <v>30</v>
      </c>
      <c r="H9" s="6" t="s">
        <v>72</v>
      </c>
      <c r="I9" s="6" t="s">
        <v>73</v>
      </c>
      <c r="J9">
        <f t="shared" si="1"/>
        <v>18.600000000002183</v>
      </c>
      <c r="K9" s="6" t="s">
        <v>74</v>
      </c>
      <c r="L9" s="6" t="s">
        <v>75</v>
      </c>
      <c r="M9" s="6" t="s">
        <v>76</v>
      </c>
      <c r="O9" s="6" t="s">
        <v>78</v>
      </c>
      <c r="P9" t="s">
        <v>17</v>
      </c>
      <c r="Q9">
        <v>1</v>
      </c>
      <c r="R9" s="6" t="s">
        <v>77</v>
      </c>
      <c r="S9" s="6">
        <f t="shared" si="0"/>
        <v>4.1124999999996232</v>
      </c>
      <c r="T9">
        <v>17331.599999999999</v>
      </c>
    </row>
    <row r="10" spans="1:20" x14ac:dyDescent="0.25">
      <c r="A10" s="5">
        <v>45315</v>
      </c>
      <c r="B10" s="3" t="s">
        <v>24</v>
      </c>
      <c r="C10" s="3" t="s">
        <v>27</v>
      </c>
      <c r="D10" s="8">
        <v>0.47916666666666669</v>
      </c>
      <c r="E10" s="3" t="s">
        <v>28</v>
      </c>
      <c r="F10" s="3" t="s">
        <v>9</v>
      </c>
      <c r="G10" s="2" t="s">
        <v>30</v>
      </c>
      <c r="H10" s="7" t="s">
        <v>79</v>
      </c>
      <c r="I10" s="7" t="s">
        <v>80</v>
      </c>
      <c r="J10">
        <f t="shared" si="1"/>
        <v>16</v>
      </c>
      <c r="K10" s="7" t="s">
        <v>81</v>
      </c>
      <c r="L10" s="7" t="s">
        <v>83</v>
      </c>
      <c r="M10" s="7" t="s">
        <v>82</v>
      </c>
      <c r="N10" s="7" t="s">
        <v>81</v>
      </c>
      <c r="O10" s="7" t="s">
        <v>84</v>
      </c>
      <c r="P10" t="s">
        <v>16</v>
      </c>
      <c r="Q10" s="3">
        <v>0</v>
      </c>
      <c r="R10" s="7" t="s">
        <v>79</v>
      </c>
      <c r="S10" s="6">
        <f t="shared" si="0"/>
        <v>0</v>
      </c>
      <c r="T10">
        <v>17685.599999999999</v>
      </c>
    </row>
    <row r="11" spans="1:20" x14ac:dyDescent="0.25">
      <c r="A11" s="4">
        <v>45316</v>
      </c>
      <c r="B11" t="s">
        <v>25</v>
      </c>
      <c r="C11" t="s">
        <v>27</v>
      </c>
      <c r="D11" s="2">
        <v>0.41111111111111109</v>
      </c>
      <c r="E11" t="s">
        <v>28</v>
      </c>
      <c r="F11" t="s">
        <v>9</v>
      </c>
      <c r="G11" s="2" t="s">
        <v>30</v>
      </c>
      <c r="H11" s="6" t="s">
        <v>85</v>
      </c>
      <c r="I11" s="6" t="s">
        <v>86</v>
      </c>
      <c r="J11">
        <f t="shared" si="1"/>
        <v>14.799999999999272</v>
      </c>
      <c r="K11" s="6" t="s">
        <v>87</v>
      </c>
      <c r="L11" s="6" t="s">
        <v>86</v>
      </c>
      <c r="M11" s="6" t="s">
        <v>86</v>
      </c>
      <c r="N11" s="6" t="s">
        <v>87</v>
      </c>
      <c r="O11" s="6" t="s">
        <v>88</v>
      </c>
      <c r="P11" t="s">
        <v>32</v>
      </c>
      <c r="Q11">
        <v>0</v>
      </c>
      <c r="R11" s="6" t="s">
        <v>86</v>
      </c>
      <c r="S11" s="6">
        <f t="shared" si="0"/>
        <v>-1</v>
      </c>
      <c r="T11">
        <v>17644.8</v>
      </c>
    </row>
    <row r="12" spans="1:20" x14ac:dyDescent="0.25">
      <c r="A12" s="4">
        <v>45317</v>
      </c>
      <c r="B12" t="s">
        <v>26</v>
      </c>
      <c r="C12" t="s">
        <v>27</v>
      </c>
      <c r="D12" s="2">
        <v>0.375</v>
      </c>
      <c r="E12" t="s">
        <v>28</v>
      </c>
      <c r="F12" t="s">
        <v>9</v>
      </c>
      <c r="G12" s="2" t="s">
        <v>30</v>
      </c>
      <c r="H12" s="6" t="s">
        <v>89</v>
      </c>
      <c r="I12" s="6" t="s">
        <v>90</v>
      </c>
      <c r="J12">
        <f t="shared" si="1"/>
        <v>36.299999999999272</v>
      </c>
      <c r="K12" s="6" t="s">
        <v>89</v>
      </c>
      <c r="L12" s="6" t="s">
        <v>90</v>
      </c>
      <c r="M12" s="6" t="s">
        <v>90</v>
      </c>
      <c r="O12" s="6" t="s">
        <v>91</v>
      </c>
      <c r="P12" t="s">
        <v>32</v>
      </c>
      <c r="Q12">
        <v>0</v>
      </c>
      <c r="R12" s="6" t="s">
        <v>90</v>
      </c>
      <c r="S12" s="6">
        <f t="shared" si="0"/>
        <v>-1</v>
      </c>
      <c r="T12">
        <v>17524.2</v>
      </c>
    </row>
    <row r="13" spans="1:20" x14ac:dyDescent="0.25">
      <c r="A13" s="4">
        <v>45320</v>
      </c>
      <c r="B13" t="s">
        <v>23</v>
      </c>
      <c r="C13" t="s">
        <v>27</v>
      </c>
      <c r="D13" s="2">
        <v>0.40625</v>
      </c>
      <c r="E13" t="s">
        <v>28</v>
      </c>
      <c r="F13" t="s">
        <v>9</v>
      </c>
      <c r="G13" s="2" t="s">
        <v>30</v>
      </c>
      <c r="H13" s="6" t="s">
        <v>92</v>
      </c>
      <c r="I13" s="6" t="s">
        <v>93</v>
      </c>
      <c r="J13">
        <f t="shared" si="1"/>
        <v>27.400000000001455</v>
      </c>
      <c r="K13" s="6" t="s">
        <v>94</v>
      </c>
      <c r="L13" s="6" t="s">
        <v>95</v>
      </c>
      <c r="M13" s="6" t="s">
        <v>93</v>
      </c>
      <c r="N13" s="6" t="s">
        <v>94</v>
      </c>
      <c r="O13" s="6" t="s">
        <v>96</v>
      </c>
      <c r="P13" t="s">
        <v>16</v>
      </c>
      <c r="Q13">
        <v>0</v>
      </c>
      <c r="R13" s="6" t="s">
        <v>92</v>
      </c>
      <c r="S13" s="6">
        <f t="shared" si="0"/>
        <v>0</v>
      </c>
      <c r="T13">
        <v>17609.2</v>
      </c>
    </row>
    <row r="14" spans="1:20" x14ac:dyDescent="0.25">
      <c r="A14" s="4">
        <v>45323</v>
      </c>
      <c r="B14" t="s">
        <v>25</v>
      </c>
      <c r="C14" t="s">
        <v>27</v>
      </c>
      <c r="D14" s="2">
        <v>0.41249999999999998</v>
      </c>
      <c r="E14" t="s">
        <v>8</v>
      </c>
      <c r="F14" t="s">
        <v>9</v>
      </c>
      <c r="G14" s="2" t="s">
        <v>13</v>
      </c>
      <c r="H14" s="6" t="s">
        <v>97</v>
      </c>
      <c r="I14" s="6" t="s">
        <v>98</v>
      </c>
      <c r="J14">
        <f t="shared" si="1"/>
        <v>31.200000000000728</v>
      </c>
      <c r="K14" s="6" t="s">
        <v>99</v>
      </c>
      <c r="L14" s="6" t="s">
        <v>97</v>
      </c>
      <c r="M14" s="6" t="s">
        <v>98</v>
      </c>
      <c r="N14" s="6" t="s">
        <v>99</v>
      </c>
      <c r="O14" s="6" t="s">
        <v>100</v>
      </c>
      <c r="P14" t="s">
        <v>16</v>
      </c>
      <c r="Q14">
        <v>0</v>
      </c>
      <c r="R14" s="6" t="s">
        <v>97</v>
      </c>
      <c r="S14" s="6">
        <f t="shared" si="0"/>
        <v>0</v>
      </c>
      <c r="T14">
        <v>17358.2</v>
      </c>
    </row>
    <row r="15" spans="1:20" x14ac:dyDescent="0.25">
      <c r="A15" s="4">
        <v>45329</v>
      </c>
      <c r="B15" t="s">
        <v>24</v>
      </c>
      <c r="C15" t="s">
        <v>27</v>
      </c>
      <c r="D15" s="2">
        <v>0.41249999999999998</v>
      </c>
      <c r="E15" t="s">
        <v>28</v>
      </c>
      <c r="F15" t="s">
        <v>9</v>
      </c>
      <c r="G15" s="2" t="s">
        <v>30</v>
      </c>
      <c r="H15" s="6" t="s">
        <v>101</v>
      </c>
      <c r="I15" s="6" t="s">
        <v>102</v>
      </c>
      <c r="J15">
        <f t="shared" si="1"/>
        <v>20.600000000002183</v>
      </c>
      <c r="K15" s="6" t="s">
        <v>103</v>
      </c>
      <c r="L15" s="6" t="s">
        <v>102</v>
      </c>
      <c r="M15" s="6" t="s">
        <v>102</v>
      </c>
      <c r="O15" s="6" t="s">
        <v>104</v>
      </c>
      <c r="P15" t="s">
        <v>32</v>
      </c>
      <c r="Q15">
        <v>0</v>
      </c>
      <c r="R15" s="6" t="s">
        <v>102</v>
      </c>
      <c r="S15" s="6">
        <f t="shared" si="0"/>
        <v>-1</v>
      </c>
      <c r="T15">
        <v>17795.599999999999</v>
      </c>
    </row>
    <row r="16" spans="1:20" x14ac:dyDescent="0.25">
      <c r="A16" s="4">
        <v>45330</v>
      </c>
      <c r="B16" t="s">
        <v>25</v>
      </c>
      <c r="C16" t="s">
        <v>27</v>
      </c>
      <c r="D16" s="2">
        <v>0.43611111111111112</v>
      </c>
      <c r="E16" t="s">
        <v>28</v>
      </c>
      <c r="F16" t="s">
        <v>9</v>
      </c>
      <c r="G16" s="2" t="s">
        <v>30</v>
      </c>
      <c r="H16" s="6" t="s">
        <v>105</v>
      </c>
      <c r="I16" s="6" t="s">
        <v>106</v>
      </c>
      <c r="J16">
        <f t="shared" si="1"/>
        <v>25.200000000000728</v>
      </c>
      <c r="K16" s="6" t="s">
        <v>107</v>
      </c>
      <c r="L16" s="6" t="s">
        <v>108</v>
      </c>
      <c r="M16" s="6" t="s">
        <v>109</v>
      </c>
      <c r="O16" s="6" t="s">
        <v>110</v>
      </c>
      <c r="P16" t="s">
        <v>17</v>
      </c>
      <c r="Q16">
        <v>1</v>
      </c>
      <c r="R16" s="6" t="s">
        <v>109</v>
      </c>
      <c r="S16" s="6">
        <f t="shared" si="0"/>
        <v>1.4902777777777372</v>
      </c>
      <c r="T16" s="6" t="s">
        <v>107</v>
      </c>
    </row>
    <row r="17" spans="1:20" x14ac:dyDescent="0.25">
      <c r="A17" s="4">
        <v>45331</v>
      </c>
      <c r="B17" t="s">
        <v>26</v>
      </c>
      <c r="C17" t="s">
        <v>27</v>
      </c>
      <c r="D17" s="2">
        <v>0.5</v>
      </c>
      <c r="E17" t="s">
        <v>28</v>
      </c>
      <c r="F17" t="s">
        <v>9</v>
      </c>
      <c r="G17" s="2" t="s">
        <v>30</v>
      </c>
      <c r="H17" s="6" t="s">
        <v>111</v>
      </c>
      <c r="I17" s="6" t="s">
        <v>112</v>
      </c>
      <c r="J17">
        <f t="shared" si="1"/>
        <v>18.899999999997817</v>
      </c>
      <c r="K17" s="6" t="s">
        <v>113</v>
      </c>
      <c r="L17" s="6" t="s">
        <v>114</v>
      </c>
      <c r="M17" s="6" t="s">
        <v>131</v>
      </c>
      <c r="N17" s="6" t="s">
        <v>113</v>
      </c>
      <c r="O17" s="6" t="s">
        <v>115</v>
      </c>
      <c r="P17" t="s">
        <v>16</v>
      </c>
      <c r="Q17">
        <v>0</v>
      </c>
      <c r="R17" s="6" t="s">
        <v>111</v>
      </c>
      <c r="S17" s="6">
        <f t="shared" si="0"/>
        <v>0</v>
      </c>
      <c r="T17">
        <v>17989.2</v>
      </c>
    </row>
    <row r="18" spans="1:20" x14ac:dyDescent="0.25">
      <c r="A18" s="4">
        <v>45334</v>
      </c>
      <c r="B18" t="s">
        <v>23</v>
      </c>
      <c r="C18" t="s">
        <v>27</v>
      </c>
      <c r="D18" s="2">
        <v>0.40347222222222223</v>
      </c>
      <c r="E18" t="s">
        <v>28</v>
      </c>
      <c r="F18" t="s">
        <v>9</v>
      </c>
      <c r="G18" s="2" t="s">
        <v>30</v>
      </c>
      <c r="H18" s="6" t="s">
        <v>116</v>
      </c>
      <c r="I18" s="6" t="s">
        <v>117</v>
      </c>
      <c r="J18">
        <f t="shared" si="1"/>
        <v>21.80000000000291</v>
      </c>
      <c r="K18" s="6" t="s">
        <v>118</v>
      </c>
      <c r="L18" s="6" t="s">
        <v>119</v>
      </c>
      <c r="M18" s="6" t="s">
        <v>132</v>
      </c>
      <c r="N18" s="6" t="s">
        <v>118</v>
      </c>
      <c r="O18" s="6" t="s">
        <v>112</v>
      </c>
      <c r="P18" t="s">
        <v>16</v>
      </c>
      <c r="Q18">
        <v>0</v>
      </c>
      <c r="R18" s="6" t="s">
        <v>116</v>
      </c>
      <c r="S18" s="6">
        <f t="shared" si="0"/>
        <v>0</v>
      </c>
      <c r="T18">
        <v>18043.400000000001</v>
      </c>
    </row>
    <row r="19" spans="1:20" x14ac:dyDescent="0.25">
      <c r="A19" s="4">
        <v>45336</v>
      </c>
      <c r="B19" t="s">
        <v>24</v>
      </c>
      <c r="C19" t="s">
        <v>27</v>
      </c>
      <c r="D19" s="2">
        <v>0.39930555555555558</v>
      </c>
      <c r="E19" t="s">
        <v>28</v>
      </c>
      <c r="F19" t="s">
        <v>9</v>
      </c>
      <c r="G19" s="2" t="s">
        <v>30</v>
      </c>
      <c r="H19" s="6" t="s">
        <v>120</v>
      </c>
      <c r="I19" s="6" t="s">
        <v>121</v>
      </c>
      <c r="J19">
        <f t="shared" si="1"/>
        <v>18.400000000001455</v>
      </c>
      <c r="K19" s="6" t="s">
        <v>120</v>
      </c>
      <c r="L19" s="6" t="s">
        <v>121</v>
      </c>
      <c r="M19" s="6" t="s">
        <v>121</v>
      </c>
      <c r="O19" s="6" t="s">
        <v>122</v>
      </c>
      <c r="P19" t="s">
        <v>32</v>
      </c>
      <c r="Q19">
        <v>0</v>
      </c>
      <c r="R19" s="6" t="s">
        <v>121</v>
      </c>
      <c r="S19" s="6">
        <f t="shared" si="0"/>
        <v>-1</v>
      </c>
      <c r="T19">
        <v>17820.8</v>
      </c>
    </row>
    <row r="20" spans="1:20" x14ac:dyDescent="0.25">
      <c r="A20" s="4">
        <v>45337</v>
      </c>
      <c r="B20" t="s">
        <v>25</v>
      </c>
      <c r="C20" t="s">
        <v>27</v>
      </c>
      <c r="D20" s="2">
        <v>0.3611111111111111</v>
      </c>
      <c r="E20" t="s">
        <v>28</v>
      </c>
      <c r="F20" t="s">
        <v>9</v>
      </c>
      <c r="G20" s="2" t="s">
        <v>30</v>
      </c>
      <c r="H20" s="6" t="s">
        <v>123</v>
      </c>
      <c r="I20" s="6" t="s">
        <v>124</v>
      </c>
      <c r="J20">
        <f t="shared" si="1"/>
        <v>20.700000000000728</v>
      </c>
      <c r="K20" s="6" t="s">
        <v>125</v>
      </c>
      <c r="L20" s="6" t="s">
        <v>124</v>
      </c>
      <c r="M20" s="6" t="s">
        <v>124</v>
      </c>
      <c r="N20" s="6" t="s">
        <v>125</v>
      </c>
      <c r="O20" s="6" t="s">
        <v>126</v>
      </c>
      <c r="P20" t="s">
        <v>32</v>
      </c>
      <c r="Q20">
        <v>0</v>
      </c>
      <c r="R20" s="6" t="s">
        <v>124</v>
      </c>
      <c r="S20" s="6">
        <f t="shared" si="0"/>
        <v>-1</v>
      </c>
      <c r="T20">
        <v>17867.2</v>
      </c>
    </row>
    <row r="21" spans="1:20" x14ac:dyDescent="0.25">
      <c r="A21" s="4">
        <v>45338</v>
      </c>
      <c r="B21" t="s">
        <v>12</v>
      </c>
      <c r="C21" t="s">
        <v>27</v>
      </c>
      <c r="D21" s="2">
        <v>0.39861111111111114</v>
      </c>
      <c r="E21" t="s">
        <v>28</v>
      </c>
      <c r="F21" t="s">
        <v>9</v>
      </c>
      <c r="G21" s="2" t="s">
        <v>30</v>
      </c>
      <c r="H21" s="6" t="s">
        <v>127</v>
      </c>
      <c r="I21" s="6" t="s">
        <v>128</v>
      </c>
      <c r="J21">
        <f t="shared" si="1"/>
        <v>38</v>
      </c>
      <c r="K21" s="6" t="s">
        <v>129</v>
      </c>
      <c r="L21" s="6" t="s">
        <v>128</v>
      </c>
      <c r="M21" s="6" t="s">
        <v>128</v>
      </c>
      <c r="N21" s="6" t="s">
        <v>129</v>
      </c>
      <c r="O21" s="6" t="s">
        <v>130</v>
      </c>
      <c r="P21" t="s">
        <v>32</v>
      </c>
      <c r="Q21">
        <v>0</v>
      </c>
      <c r="R21" s="6" t="s">
        <v>128</v>
      </c>
      <c r="S21" s="6">
        <f t="shared" si="0"/>
        <v>-1</v>
      </c>
      <c r="T21">
        <v>17389.599999999999</v>
      </c>
    </row>
    <row r="22" spans="1:20" x14ac:dyDescent="0.25">
      <c r="A22" s="4">
        <v>45344</v>
      </c>
      <c r="B22" t="s">
        <v>25</v>
      </c>
      <c r="C22" t="s">
        <v>27</v>
      </c>
      <c r="D22" s="2">
        <v>0.40972222222222221</v>
      </c>
      <c r="E22" t="s">
        <v>28</v>
      </c>
      <c r="F22" t="s">
        <v>9</v>
      </c>
      <c r="G22" s="2" t="s">
        <v>30</v>
      </c>
      <c r="H22" s="6" t="s">
        <v>133</v>
      </c>
      <c r="I22" s="6" t="s">
        <v>134</v>
      </c>
      <c r="J22">
        <f t="shared" si="1"/>
        <v>36.200000000000728</v>
      </c>
      <c r="K22" s="6" t="s">
        <v>135</v>
      </c>
      <c r="L22" s="6" t="s">
        <v>136</v>
      </c>
      <c r="M22" s="6" t="s">
        <v>137</v>
      </c>
      <c r="N22" s="6" t="s">
        <v>135</v>
      </c>
      <c r="O22" s="6" t="s">
        <v>138</v>
      </c>
      <c r="P22" t="s">
        <v>16</v>
      </c>
      <c r="Q22">
        <v>0</v>
      </c>
      <c r="R22" s="6" t="s">
        <v>133</v>
      </c>
      <c r="S22" s="6">
        <f t="shared" si="0"/>
        <v>0</v>
      </c>
      <c r="T22">
        <v>18037.8</v>
      </c>
    </row>
    <row r="23" spans="1:20" x14ac:dyDescent="0.25">
      <c r="A23" s="4">
        <v>45348</v>
      </c>
      <c r="B23" t="s">
        <v>23</v>
      </c>
      <c r="C23" t="s">
        <v>27</v>
      </c>
      <c r="D23" s="2">
        <v>0.39930555555555558</v>
      </c>
      <c r="E23" t="s">
        <v>28</v>
      </c>
      <c r="F23" t="s">
        <v>9</v>
      </c>
      <c r="G23" s="2" t="s">
        <v>30</v>
      </c>
      <c r="H23" s="6" t="s">
        <v>139</v>
      </c>
      <c r="I23" s="6" t="s">
        <v>140</v>
      </c>
      <c r="J23">
        <f t="shared" si="1"/>
        <v>13.599999999998545</v>
      </c>
      <c r="K23" s="6" t="s">
        <v>141</v>
      </c>
      <c r="L23" s="6" t="s">
        <v>142</v>
      </c>
      <c r="M23" s="6" t="s">
        <v>140</v>
      </c>
      <c r="N23" s="6" t="s">
        <v>141</v>
      </c>
      <c r="O23" s="6" t="s">
        <v>143</v>
      </c>
      <c r="P23" s="6" t="s">
        <v>16</v>
      </c>
      <c r="Q23">
        <v>0</v>
      </c>
      <c r="R23" s="6" t="s">
        <v>139</v>
      </c>
      <c r="S23" s="6">
        <f t="shared" si="0"/>
        <v>0</v>
      </c>
      <c r="T23">
        <v>18016.8</v>
      </c>
    </row>
    <row r="24" spans="1:20" x14ac:dyDescent="0.25">
      <c r="A24" s="4">
        <v>45349</v>
      </c>
      <c r="B24" t="s">
        <v>12</v>
      </c>
      <c r="C24" t="s">
        <v>27</v>
      </c>
      <c r="D24" s="2">
        <v>0.43402777777777779</v>
      </c>
      <c r="E24" t="s">
        <v>28</v>
      </c>
      <c r="F24" t="s">
        <v>9</v>
      </c>
      <c r="G24" s="2" t="s">
        <v>30</v>
      </c>
      <c r="H24" s="6" t="s">
        <v>144</v>
      </c>
      <c r="I24" s="6" t="s">
        <v>145</v>
      </c>
      <c r="J24">
        <f t="shared" si="1"/>
        <v>27.400000000001455</v>
      </c>
      <c r="K24" s="6" t="s">
        <v>146</v>
      </c>
      <c r="L24" s="6" t="s">
        <v>145</v>
      </c>
      <c r="M24" s="6" t="s">
        <v>145</v>
      </c>
      <c r="N24" s="6" t="s">
        <v>147</v>
      </c>
      <c r="O24" s="6" t="s">
        <v>148</v>
      </c>
      <c r="P24" t="s">
        <v>32</v>
      </c>
      <c r="Q24">
        <v>0</v>
      </c>
      <c r="R24" s="6" t="s">
        <v>145</v>
      </c>
      <c r="S24" s="6">
        <f t="shared" si="0"/>
        <v>-1</v>
      </c>
      <c r="T24">
        <v>17993</v>
      </c>
    </row>
    <row r="25" spans="1:20" x14ac:dyDescent="0.25">
      <c r="A25" s="4">
        <v>45350</v>
      </c>
      <c r="B25" t="s">
        <v>24</v>
      </c>
      <c r="C25" t="s">
        <v>27</v>
      </c>
      <c r="D25" s="2">
        <v>0.36388888888888887</v>
      </c>
      <c r="E25" t="s">
        <v>8</v>
      </c>
      <c r="F25" t="s">
        <v>29</v>
      </c>
      <c r="G25" s="2" t="s">
        <v>30</v>
      </c>
      <c r="H25" s="6" t="s">
        <v>149</v>
      </c>
      <c r="I25" s="6" t="s">
        <v>150</v>
      </c>
      <c r="J25">
        <f t="shared" si="1"/>
        <v>20.599999999998545</v>
      </c>
      <c r="K25" s="6" t="s">
        <v>151</v>
      </c>
      <c r="L25" s="6" t="s">
        <v>152</v>
      </c>
      <c r="M25" s="6" t="s">
        <v>153</v>
      </c>
      <c r="N25" s="6" t="s">
        <v>112</v>
      </c>
      <c r="O25" s="6" t="s">
        <v>154</v>
      </c>
      <c r="P25" t="s">
        <v>16</v>
      </c>
      <c r="Q25">
        <v>0</v>
      </c>
      <c r="R25" s="6" t="s">
        <v>149</v>
      </c>
      <c r="S25" s="6">
        <f t="shared" si="0"/>
        <v>0</v>
      </c>
      <c r="T25">
        <v>17836.8</v>
      </c>
    </row>
    <row r="26" spans="1:20" x14ac:dyDescent="0.25">
      <c r="A26" s="4">
        <v>45352</v>
      </c>
      <c r="B26" t="s">
        <v>26</v>
      </c>
      <c r="C26" t="s">
        <v>27</v>
      </c>
      <c r="D26" s="2">
        <v>0.50347222222222221</v>
      </c>
      <c r="E26" t="s">
        <v>28</v>
      </c>
      <c r="F26" t="s">
        <v>9</v>
      </c>
      <c r="G26" s="2" t="s">
        <v>30</v>
      </c>
      <c r="H26" s="6" t="s">
        <v>155</v>
      </c>
      <c r="I26" s="6" t="s">
        <v>156</v>
      </c>
      <c r="J26">
        <f t="shared" si="1"/>
        <v>13.200000000000728</v>
      </c>
      <c r="K26" s="6" t="s">
        <v>157</v>
      </c>
      <c r="L26" s="6" t="s">
        <v>159</v>
      </c>
      <c r="M26" s="6" t="s">
        <v>158</v>
      </c>
      <c r="O26" s="6" t="s">
        <v>160</v>
      </c>
      <c r="P26" t="s">
        <v>17</v>
      </c>
      <c r="Q26">
        <v>1</v>
      </c>
      <c r="R26" s="6" t="s">
        <v>158</v>
      </c>
      <c r="S26">
        <f>IF(Q26=1, 1 + (0.5 * IF(E26="Long",(R26-H26)/ABS(H26-I26),(H26-R26)/ABS(H26-I26))), IF(E26="Long",(R26-H26)/ABS(H26-I26),(H26-R26)/ABS(H26-I26)))</f>
        <v>5.7689393939391858</v>
      </c>
      <c r="T26">
        <v>18339.599999999999</v>
      </c>
    </row>
    <row r="27" spans="1:20" x14ac:dyDescent="0.25">
      <c r="A27" s="4">
        <v>45356</v>
      </c>
      <c r="B27" t="s">
        <v>12</v>
      </c>
      <c r="C27" t="s">
        <v>27</v>
      </c>
      <c r="D27" s="2">
        <v>0.48958333333333331</v>
      </c>
      <c r="E27" t="s">
        <v>8</v>
      </c>
      <c r="F27" t="s">
        <v>29</v>
      </c>
      <c r="G27" s="2" t="s">
        <v>30</v>
      </c>
      <c r="H27" s="6" t="s">
        <v>161</v>
      </c>
      <c r="I27" s="6" t="s">
        <v>162</v>
      </c>
      <c r="J27">
        <f t="shared" si="1"/>
        <v>28.400000000001455</v>
      </c>
      <c r="K27" s="6" t="s">
        <v>163</v>
      </c>
      <c r="L27" s="6" t="s">
        <v>162</v>
      </c>
      <c r="M27" s="6" t="s">
        <v>162</v>
      </c>
      <c r="N27" s="6" t="s">
        <v>163</v>
      </c>
      <c r="O27" s="6" t="s">
        <v>164</v>
      </c>
      <c r="P27" t="s">
        <v>32</v>
      </c>
      <c r="Q27">
        <v>0</v>
      </c>
      <c r="R27" s="6" t="s">
        <v>162</v>
      </c>
      <c r="S27">
        <f t="shared" ref="S27:S61" si="2">IF(Q27=1, 1 + (0.5 * IF(E27="Long",(R27-H27)/ABS(H27-I27),(H27-R27)/ABS(H27-I27))), IF(E27="Long",(R27-H27)/ABS(H27-I27),(H27-R27)/ABS(H27-I27)))</f>
        <v>-1</v>
      </c>
      <c r="T27">
        <v>17810.8</v>
      </c>
    </row>
    <row r="28" spans="1:20" x14ac:dyDescent="0.25">
      <c r="A28" s="4">
        <v>45362</v>
      </c>
      <c r="B28" t="s">
        <v>23</v>
      </c>
      <c r="C28" t="s">
        <v>27</v>
      </c>
      <c r="D28" s="2">
        <v>0.48541666666666666</v>
      </c>
      <c r="E28" t="s">
        <v>28</v>
      </c>
      <c r="F28" t="s">
        <v>9</v>
      </c>
      <c r="G28" s="2" t="s">
        <v>30</v>
      </c>
      <c r="H28" s="6" t="s">
        <v>165</v>
      </c>
      <c r="I28" s="6" t="s">
        <v>166</v>
      </c>
      <c r="J28">
        <f t="shared" si="1"/>
        <v>20.5</v>
      </c>
      <c r="K28" s="6" t="s">
        <v>167</v>
      </c>
      <c r="L28" s="6" t="s">
        <v>168</v>
      </c>
      <c r="M28" s="6" t="s">
        <v>169</v>
      </c>
      <c r="O28" s="6" t="s">
        <v>170</v>
      </c>
      <c r="P28" t="s">
        <v>17</v>
      </c>
      <c r="Q28">
        <v>1</v>
      </c>
      <c r="R28" s="6" t="s">
        <v>169</v>
      </c>
      <c r="S28">
        <f t="shared" si="2"/>
        <v>1.7512195121951042</v>
      </c>
      <c r="T28">
        <v>18025.5</v>
      </c>
    </row>
    <row r="29" spans="1:20" x14ac:dyDescent="0.25">
      <c r="A29" s="4">
        <v>45363</v>
      </c>
      <c r="B29" t="s">
        <v>12</v>
      </c>
      <c r="C29" t="s">
        <v>27</v>
      </c>
      <c r="D29" s="2">
        <v>0.4861111111111111</v>
      </c>
      <c r="E29" t="s">
        <v>28</v>
      </c>
      <c r="F29" t="s">
        <v>9</v>
      </c>
      <c r="G29" s="2" t="s">
        <v>30</v>
      </c>
      <c r="H29" s="6" t="s">
        <v>171</v>
      </c>
      <c r="I29" s="6" t="s">
        <v>172</v>
      </c>
      <c r="J29">
        <f t="shared" si="1"/>
        <v>25.900000000001455</v>
      </c>
      <c r="K29" s="6" t="s">
        <v>171</v>
      </c>
      <c r="L29" s="6" t="s">
        <v>172</v>
      </c>
      <c r="M29" s="6" t="s">
        <v>172</v>
      </c>
      <c r="O29" s="6" t="s">
        <v>173</v>
      </c>
      <c r="P29" t="s">
        <v>32</v>
      </c>
      <c r="Q29">
        <v>0</v>
      </c>
      <c r="R29" s="6" t="s">
        <v>172</v>
      </c>
      <c r="S29">
        <f t="shared" si="2"/>
        <v>-1</v>
      </c>
      <c r="T29">
        <v>18262.8</v>
      </c>
    </row>
    <row r="30" spans="1:20" x14ac:dyDescent="0.25">
      <c r="A30" s="4">
        <v>45365</v>
      </c>
      <c r="B30" t="s">
        <v>25</v>
      </c>
      <c r="C30" t="s">
        <v>27</v>
      </c>
      <c r="D30" s="2">
        <v>0.40555555555555556</v>
      </c>
      <c r="E30" t="s">
        <v>28</v>
      </c>
      <c r="F30" t="s">
        <v>9</v>
      </c>
      <c r="G30" s="2" t="s">
        <v>30</v>
      </c>
      <c r="H30" s="6" t="s">
        <v>174</v>
      </c>
      <c r="I30" s="6" t="s">
        <v>175</v>
      </c>
      <c r="J30">
        <f t="shared" si="1"/>
        <v>25.799999999999272</v>
      </c>
      <c r="K30" s="6" t="s">
        <v>176</v>
      </c>
      <c r="L30" s="6" t="s">
        <v>175</v>
      </c>
      <c r="M30" s="6" t="s">
        <v>175</v>
      </c>
      <c r="N30" s="6" t="s">
        <v>176</v>
      </c>
      <c r="O30" s="6" t="s">
        <v>177</v>
      </c>
      <c r="P30" t="s">
        <v>32</v>
      </c>
      <c r="Q30">
        <v>0</v>
      </c>
      <c r="R30" s="6" t="s">
        <v>175</v>
      </c>
      <c r="S30">
        <f t="shared" si="2"/>
        <v>-1</v>
      </c>
      <c r="T30">
        <v>17937.400000000001</v>
      </c>
    </row>
    <row r="31" spans="1:20" x14ac:dyDescent="0.25">
      <c r="A31" s="4">
        <v>45369</v>
      </c>
      <c r="B31" t="s">
        <v>23</v>
      </c>
      <c r="C31" t="s">
        <v>27</v>
      </c>
      <c r="D31" s="2">
        <v>0.40972222222222221</v>
      </c>
      <c r="E31" t="s">
        <v>28</v>
      </c>
      <c r="F31" t="s">
        <v>9</v>
      </c>
      <c r="G31" s="2" t="s">
        <v>30</v>
      </c>
      <c r="H31" s="6" t="s">
        <v>178</v>
      </c>
      <c r="I31" s="6" t="s">
        <v>179</v>
      </c>
      <c r="J31">
        <f t="shared" si="1"/>
        <v>42.200000000000728</v>
      </c>
      <c r="K31" s="6" t="s">
        <v>180</v>
      </c>
      <c r="L31" s="6" t="s">
        <v>181</v>
      </c>
      <c r="M31" s="6" t="s">
        <v>179</v>
      </c>
      <c r="N31" s="6" t="s">
        <v>180</v>
      </c>
      <c r="O31" s="6" t="s">
        <v>182</v>
      </c>
      <c r="P31" t="s">
        <v>16</v>
      </c>
      <c r="Q31">
        <v>0</v>
      </c>
      <c r="R31" s="6" t="s">
        <v>178</v>
      </c>
      <c r="S31">
        <f t="shared" si="2"/>
        <v>0</v>
      </c>
      <c r="T31" s="6" t="s">
        <v>180</v>
      </c>
    </row>
    <row r="32" spans="1:20" x14ac:dyDescent="0.25">
      <c r="A32" s="4">
        <v>45373</v>
      </c>
      <c r="B32" t="s">
        <v>26</v>
      </c>
      <c r="C32" t="s">
        <v>27</v>
      </c>
      <c r="D32" s="2">
        <v>0.41111111111111109</v>
      </c>
      <c r="E32" t="s">
        <v>8</v>
      </c>
      <c r="F32" t="s">
        <v>29</v>
      </c>
      <c r="G32" s="2" t="s">
        <v>30</v>
      </c>
      <c r="H32" s="6" t="s">
        <v>183</v>
      </c>
      <c r="I32" s="6" t="s">
        <v>184</v>
      </c>
      <c r="J32">
        <f t="shared" si="1"/>
        <v>22.799999999999272</v>
      </c>
      <c r="K32" s="6" t="s">
        <v>183</v>
      </c>
      <c r="L32" s="6" t="s">
        <v>184</v>
      </c>
      <c r="M32" s="6" t="s">
        <v>184</v>
      </c>
      <c r="N32" s="6" t="s">
        <v>183</v>
      </c>
      <c r="O32" s="6" t="s">
        <v>185</v>
      </c>
      <c r="P32" s="6" t="s">
        <v>32</v>
      </c>
      <c r="Q32">
        <v>0</v>
      </c>
      <c r="R32" s="6" t="s">
        <v>184</v>
      </c>
      <c r="S32">
        <f t="shared" si="2"/>
        <v>-1</v>
      </c>
      <c r="T32">
        <v>18417.3</v>
      </c>
    </row>
    <row r="33" spans="1:20" x14ac:dyDescent="0.25">
      <c r="A33" s="4">
        <v>45377</v>
      </c>
      <c r="B33" t="s">
        <v>12</v>
      </c>
      <c r="C33" t="s">
        <v>27</v>
      </c>
      <c r="D33" s="2">
        <v>0.40625</v>
      </c>
      <c r="E33" t="s">
        <v>28</v>
      </c>
      <c r="F33" t="s">
        <v>9</v>
      </c>
      <c r="G33" s="2" t="s">
        <v>30</v>
      </c>
      <c r="H33" s="6" t="s">
        <v>186</v>
      </c>
      <c r="I33" s="6" t="s">
        <v>187</v>
      </c>
      <c r="J33">
        <f t="shared" si="1"/>
        <v>24.100000000002183</v>
      </c>
      <c r="K33" s="6" t="s">
        <v>188</v>
      </c>
      <c r="L33" s="6" t="s">
        <v>189</v>
      </c>
      <c r="M33" s="6" t="s">
        <v>187</v>
      </c>
      <c r="N33" s="6" t="s">
        <v>188</v>
      </c>
      <c r="O33" s="6" t="s">
        <v>190</v>
      </c>
      <c r="P33" s="6" t="s">
        <v>16</v>
      </c>
      <c r="Q33">
        <v>0</v>
      </c>
      <c r="R33" s="6" t="s">
        <v>186</v>
      </c>
      <c r="S33">
        <f t="shared" si="2"/>
        <v>0</v>
      </c>
      <c r="T33">
        <v>18241.599999999999</v>
      </c>
    </row>
    <row r="34" spans="1:20" x14ac:dyDescent="0.25">
      <c r="A34" s="4">
        <v>45378</v>
      </c>
      <c r="B34" t="s">
        <v>24</v>
      </c>
      <c r="C34" t="s">
        <v>27</v>
      </c>
      <c r="D34" s="2">
        <v>0.41111111111111109</v>
      </c>
      <c r="E34" t="s">
        <v>28</v>
      </c>
      <c r="F34" t="s">
        <v>9</v>
      </c>
      <c r="G34" s="2" t="s">
        <v>30</v>
      </c>
      <c r="H34" s="6" t="s">
        <v>191</v>
      </c>
      <c r="I34" s="6" t="s">
        <v>192</v>
      </c>
      <c r="J34">
        <f t="shared" si="1"/>
        <v>13.900000000001455</v>
      </c>
      <c r="K34" s="6" t="s">
        <v>191</v>
      </c>
      <c r="L34" s="6" t="s">
        <v>191</v>
      </c>
      <c r="M34" s="6" t="s">
        <v>191</v>
      </c>
      <c r="O34" s="6" t="s">
        <v>193</v>
      </c>
      <c r="P34" s="6" t="s">
        <v>32</v>
      </c>
      <c r="Q34">
        <v>0</v>
      </c>
      <c r="R34" s="6" t="s">
        <v>192</v>
      </c>
      <c r="S34">
        <f t="shared" si="2"/>
        <v>-1</v>
      </c>
      <c r="T34">
        <v>18179.5</v>
      </c>
    </row>
    <row r="35" spans="1:20" x14ac:dyDescent="0.25">
      <c r="A35" s="4">
        <v>45379</v>
      </c>
      <c r="B35" t="s">
        <v>25</v>
      </c>
      <c r="C35" t="s">
        <v>27</v>
      </c>
      <c r="D35" s="2">
        <v>0.37152777777777779</v>
      </c>
      <c r="E35" t="s">
        <v>28</v>
      </c>
      <c r="F35" t="s">
        <v>9</v>
      </c>
      <c r="G35" s="2" t="s">
        <v>30</v>
      </c>
      <c r="H35" s="6" t="s">
        <v>194</v>
      </c>
      <c r="I35" s="6" t="s">
        <v>195</v>
      </c>
      <c r="J35">
        <f t="shared" si="1"/>
        <v>10.30000000000291</v>
      </c>
      <c r="K35" s="6" t="s">
        <v>196</v>
      </c>
      <c r="L35" s="6" t="s">
        <v>197</v>
      </c>
      <c r="M35" s="6" t="s">
        <v>198</v>
      </c>
      <c r="N35" s="6" t="s">
        <v>196</v>
      </c>
      <c r="O35" s="6" t="s">
        <v>199</v>
      </c>
      <c r="P35" t="s">
        <v>17</v>
      </c>
      <c r="Q35">
        <v>1</v>
      </c>
      <c r="R35" s="6" t="s">
        <v>198</v>
      </c>
      <c r="S35">
        <f>IF(Q35=1, 1 + (0.5 * IF(E35="Long",(R35-H35)/ABS(H35-I35),(H35-R35)/ABS(H35-I35))), IF(E35="Long",(R35-H35)/ABS(H35-I35),(H35-R35)/ABS(H35-I35)))</f>
        <v>1.4999999999998235</v>
      </c>
      <c r="T35">
        <v>18342.900000000001</v>
      </c>
    </row>
    <row r="36" spans="1:20" x14ac:dyDescent="0.25">
      <c r="A36" s="4">
        <v>45384</v>
      </c>
      <c r="B36" t="s">
        <v>12</v>
      </c>
      <c r="C36" t="s">
        <v>27</v>
      </c>
      <c r="D36" s="2">
        <v>0.43333333333333335</v>
      </c>
      <c r="E36" t="s">
        <v>8</v>
      </c>
      <c r="F36" t="s">
        <v>29</v>
      </c>
      <c r="G36" s="2" t="s">
        <v>30</v>
      </c>
      <c r="H36" s="6" t="s">
        <v>200</v>
      </c>
      <c r="I36" s="6" t="s">
        <v>201</v>
      </c>
      <c r="J36">
        <f t="shared" si="1"/>
        <v>28.200000000000728</v>
      </c>
      <c r="K36" s="6" t="s">
        <v>202</v>
      </c>
      <c r="L36" s="6" t="s">
        <v>203</v>
      </c>
      <c r="M36" s="6" t="s">
        <v>201</v>
      </c>
      <c r="N36" s="6" t="s">
        <v>202</v>
      </c>
      <c r="O36" s="6" t="s">
        <v>204</v>
      </c>
      <c r="P36" t="s">
        <v>16</v>
      </c>
      <c r="Q36">
        <v>0</v>
      </c>
      <c r="R36" s="6" t="s">
        <v>200</v>
      </c>
      <c r="S36">
        <f t="shared" si="2"/>
        <v>0</v>
      </c>
      <c r="T36">
        <v>18166.8</v>
      </c>
    </row>
    <row r="37" spans="1:20" x14ac:dyDescent="0.25">
      <c r="A37" s="4">
        <v>45391</v>
      </c>
      <c r="B37" t="s">
        <v>12</v>
      </c>
      <c r="C37" t="s">
        <v>27</v>
      </c>
      <c r="D37" s="2">
        <v>0.43055555555555558</v>
      </c>
      <c r="E37" t="s">
        <v>28</v>
      </c>
      <c r="F37" t="s">
        <v>9</v>
      </c>
      <c r="G37" s="2" t="s">
        <v>30</v>
      </c>
      <c r="H37" s="6" t="s">
        <v>205</v>
      </c>
      <c r="I37" s="6" t="s">
        <v>206</v>
      </c>
      <c r="J37">
        <f t="shared" si="1"/>
        <v>13.399999999997817</v>
      </c>
      <c r="K37" s="6" t="s">
        <v>207</v>
      </c>
      <c r="L37" s="6" t="s">
        <v>208</v>
      </c>
      <c r="M37" s="6" t="s">
        <v>206</v>
      </c>
      <c r="N37" s="6" t="s">
        <v>207</v>
      </c>
      <c r="O37" s="6" t="s">
        <v>209</v>
      </c>
      <c r="P37" t="s">
        <v>16</v>
      </c>
      <c r="Q37">
        <v>0</v>
      </c>
      <c r="R37" s="6" t="s">
        <v>205</v>
      </c>
      <c r="S37">
        <f t="shared" si="2"/>
        <v>0</v>
      </c>
      <c r="T37">
        <v>18189.599999999999</v>
      </c>
    </row>
    <row r="38" spans="1:20" x14ac:dyDescent="0.25">
      <c r="A38" s="4">
        <v>45398</v>
      </c>
      <c r="B38" t="s">
        <v>12</v>
      </c>
      <c r="C38" t="s">
        <v>27</v>
      </c>
      <c r="D38" s="2">
        <v>0.43611111111111112</v>
      </c>
      <c r="E38" t="s">
        <v>28</v>
      </c>
      <c r="F38" t="s">
        <v>29</v>
      </c>
      <c r="G38" s="2" t="s">
        <v>13</v>
      </c>
      <c r="H38" s="6" t="s">
        <v>210</v>
      </c>
      <c r="I38" s="6" t="s">
        <v>211</v>
      </c>
      <c r="J38">
        <f t="shared" si="1"/>
        <v>37.80000000000291</v>
      </c>
      <c r="K38" s="6" t="s">
        <v>212</v>
      </c>
      <c r="L38" s="6" t="s">
        <v>213</v>
      </c>
      <c r="M38" s="6" t="s">
        <v>214</v>
      </c>
      <c r="N38" s="6" t="s">
        <v>215</v>
      </c>
      <c r="O38" s="6" t="s">
        <v>216</v>
      </c>
      <c r="P38" t="s">
        <v>17</v>
      </c>
      <c r="Q38">
        <v>1</v>
      </c>
      <c r="R38" s="6" t="s">
        <v>210</v>
      </c>
      <c r="S38">
        <f t="shared" si="2"/>
        <v>1</v>
      </c>
      <c r="T38">
        <v>17845.599999999999</v>
      </c>
    </row>
    <row r="39" spans="1:20" x14ac:dyDescent="0.25">
      <c r="A39" s="4">
        <v>45399</v>
      </c>
      <c r="B39" t="s">
        <v>24</v>
      </c>
      <c r="C39" t="s">
        <v>27</v>
      </c>
      <c r="D39" s="2">
        <v>0.4</v>
      </c>
      <c r="E39" t="s">
        <v>8</v>
      </c>
      <c r="F39" t="s">
        <v>9</v>
      </c>
      <c r="G39" s="2" t="s">
        <v>13</v>
      </c>
      <c r="H39" s="6" t="s">
        <v>217</v>
      </c>
      <c r="I39" s="6" t="s">
        <v>218</v>
      </c>
      <c r="J39">
        <f t="shared" si="1"/>
        <v>19.900000000001455</v>
      </c>
      <c r="K39" s="6" t="s">
        <v>219</v>
      </c>
      <c r="L39" s="6" t="s">
        <v>220</v>
      </c>
      <c r="M39" s="6" t="s">
        <v>221</v>
      </c>
      <c r="O39" s="6" t="s">
        <v>222</v>
      </c>
      <c r="P39" t="s">
        <v>17</v>
      </c>
      <c r="Q39">
        <v>1</v>
      </c>
      <c r="R39" s="6" t="s">
        <v>223</v>
      </c>
      <c r="S39">
        <f t="shared" si="2"/>
        <v>3.751256281406834</v>
      </c>
      <c r="T39">
        <v>17478</v>
      </c>
    </row>
    <row r="40" spans="1:20" x14ac:dyDescent="0.25">
      <c r="A40" s="4">
        <v>45401</v>
      </c>
      <c r="B40" t="s">
        <v>26</v>
      </c>
      <c r="C40" t="s">
        <v>27</v>
      </c>
      <c r="D40" s="2">
        <v>0.41388888888888886</v>
      </c>
      <c r="E40" t="s">
        <v>8</v>
      </c>
      <c r="F40" t="s">
        <v>9</v>
      </c>
      <c r="G40" s="2" t="s">
        <v>13</v>
      </c>
      <c r="H40" s="6" t="s">
        <v>224</v>
      </c>
      <c r="I40" s="6" t="s">
        <v>225</v>
      </c>
      <c r="J40">
        <f t="shared" si="1"/>
        <v>44.099999999998545</v>
      </c>
      <c r="K40" s="6" t="s">
        <v>226</v>
      </c>
      <c r="L40" s="6" t="s">
        <v>227</v>
      </c>
      <c r="M40" s="6" t="s">
        <v>229</v>
      </c>
      <c r="N40" s="6" t="s">
        <v>228</v>
      </c>
      <c r="O40" s="6" t="s">
        <v>230</v>
      </c>
      <c r="P40" t="s">
        <v>17</v>
      </c>
      <c r="Q40">
        <v>1</v>
      </c>
      <c r="R40" s="6" t="s">
        <v>231</v>
      </c>
      <c r="S40">
        <f t="shared" si="2"/>
        <v>1.7188208616780447</v>
      </c>
      <c r="T40">
        <v>16985.3</v>
      </c>
    </row>
    <row r="41" spans="1:20" x14ac:dyDescent="0.25">
      <c r="A41" s="4">
        <v>45404</v>
      </c>
      <c r="B41" t="s">
        <v>23</v>
      </c>
      <c r="C41" t="s">
        <v>27</v>
      </c>
      <c r="D41" s="2">
        <v>0.4</v>
      </c>
      <c r="E41" t="s">
        <v>8</v>
      </c>
      <c r="F41" t="s">
        <v>9</v>
      </c>
      <c r="G41" s="2" t="s">
        <v>13</v>
      </c>
      <c r="H41" s="6" t="s">
        <v>232</v>
      </c>
      <c r="I41" s="6" t="s">
        <v>233</v>
      </c>
      <c r="J41">
        <f t="shared" si="1"/>
        <v>22</v>
      </c>
      <c r="K41" s="6" t="s">
        <v>234</v>
      </c>
      <c r="L41" s="6" t="s">
        <v>233</v>
      </c>
      <c r="M41" s="6" t="s">
        <v>233</v>
      </c>
      <c r="N41" s="6" t="s">
        <v>234</v>
      </c>
      <c r="O41" s="6" t="s">
        <v>236</v>
      </c>
      <c r="P41" t="s">
        <v>32</v>
      </c>
      <c r="Q41">
        <v>0</v>
      </c>
      <c r="R41" s="6" t="s">
        <v>233</v>
      </c>
      <c r="S41">
        <f t="shared" si="2"/>
        <v>-1</v>
      </c>
      <c r="T41" s="6" t="s">
        <v>235</v>
      </c>
    </row>
    <row r="42" spans="1:20" x14ac:dyDescent="0.25">
      <c r="A42" s="4">
        <v>45405</v>
      </c>
      <c r="B42" t="s">
        <v>23</v>
      </c>
      <c r="C42" t="s">
        <v>27</v>
      </c>
      <c r="D42" s="2">
        <v>0.45902777777777776</v>
      </c>
      <c r="E42" t="s">
        <v>28</v>
      </c>
      <c r="F42" t="s">
        <v>29</v>
      </c>
      <c r="G42" s="2" t="s">
        <v>13</v>
      </c>
      <c r="H42" s="6" t="s">
        <v>237</v>
      </c>
      <c r="I42" s="6" t="s">
        <v>238</v>
      </c>
      <c r="J42">
        <f t="shared" si="1"/>
        <v>21.899999999997817</v>
      </c>
      <c r="K42" s="6" t="s">
        <v>237</v>
      </c>
      <c r="L42" s="6" t="s">
        <v>238</v>
      </c>
      <c r="M42" s="6" t="s">
        <v>238</v>
      </c>
      <c r="O42" s="6" t="s">
        <v>239</v>
      </c>
      <c r="P42" t="s">
        <v>32</v>
      </c>
      <c r="Q42">
        <v>0</v>
      </c>
      <c r="R42" s="6" t="s">
        <v>238</v>
      </c>
      <c r="S42">
        <f t="shared" si="2"/>
        <v>-1</v>
      </c>
      <c r="T42">
        <v>17536.2</v>
      </c>
    </row>
    <row r="43" spans="1:20" x14ac:dyDescent="0.25">
      <c r="A43" s="4">
        <v>45418</v>
      </c>
      <c r="B43" t="s">
        <v>23</v>
      </c>
      <c r="C43" t="s">
        <v>27</v>
      </c>
      <c r="D43" s="2">
        <v>0.43541666666666667</v>
      </c>
      <c r="E43" t="s">
        <v>28</v>
      </c>
      <c r="F43" t="s">
        <v>9</v>
      </c>
      <c r="G43" s="2" t="s">
        <v>30</v>
      </c>
      <c r="H43" s="6" t="s">
        <v>240</v>
      </c>
      <c r="I43" s="6" t="s">
        <v>241</v>
      </c>
      <c r="J43">
        <f t="shared" si="1"/>
        <v>13.400000000001455</v>
      </c>
      <c r="K43" s="6" t="s">
        <v>242</v>
      </c>
      <c r="L43" s="6" t="s">
        <v>243</v>
      </c>
      <c r="M43" s="6" t="s">
        <v>241</v>
      </c>
      <c r="N43" s="6" t="s">
        <v>244</v>
      </c>
      <c r="O43" s="6" t="s">
        <v>245</v>
      </c>
      <c r="P43" t="s">
        <v>16</v>
      </c>
      <c r="Q43">
        <v>0</v>
      </c>
      <c r="R43" s="6" t="s">
        <v>240</v>
      </c>
      <c r="S43">
        <f t="shared" si="2"/>
        <v>0</v>
      </c>
      <c r="T43">
        <v>18023.400000000001</v>
      </c>
    </row>
    <row r="44" spans="1:20" x14ac:dyDescent="0.25">
      <c r="A44" s="4">
        <v>45419</v>
      </c>
      <c r="B44" t="s">
        <v>12</v>
      </c>
      <c r="C44" t="s">
        <v>27</v>
      </c>
      <c r="D44" s="2">
        <v>0.43055555555555558</v>
      </c>
      <c r="E44" t="s">
        <v>28</v>
      </c>
      <c r="F44" t="s">
        <v>9</v>
      </c>
      <c r="G44" s="2" t="s">
        <v>30</v>
      </c>
      <c r="H44" s="6" t="s">
        <v>246</v>
      </c>
      <c r="I44" s="6" t="s">
        <v>247</v>
      </c>
      <c r="J44">
        <f t="shared" si="1"/>
        <v>21.099999999998545</v>
      </c>
      <c r="K44" s="6" t="s">
        <v>248</v>
      </c>
      <c r="L44" s="6" t="s">
        <v>249</v>
      </c>
      <c r="M44" s="6" t="s">
        <v>247</v>
      </c>
      <c r="N44" s="6" t="s">
        <v>248</v>
      </c>
      <c r="O44" s="6" t="s">
        <v>250</v>
      </c>
      <c r="P44" s="6" t="s">
        <v>17</v>
      </c>
      <c r="Q44">
        <v>1</v>
      </c>
      <c r="R44" s="6" t="s">
        <v>251</v>
      </c>
      <c r="S44">
        <f t="shared" si="2"/>
        <v>1.7251184834123379</v>
      </c>
      <c r="T44">
        <v>18167.599999999999</v>
      </c>
    </row>
    <row r="45" spans="1:20" x14ac:dyDescent="0.25">
      <c r="A45" s="4">
        <v>45421</v>
      </c>
      <c r="B45" t="s">
        <v>25</v>
      </c>
      <c r="C45" t="s">
        <v>27</v>
      </c>
      <c r="D45" s="2">
        <v>0.42430555555555555</v>
      </c>
      <c r="E45" t="s">
        <v>8</v>
      </c>
      <c r="F45" t="s">
        <v>9</v>
      </c>
      <c r="G45" s="2" t="s">
        <v>13</v>
      </c>
      <c r="H45" s="6" t="s">
        <v>252</v>
      </c>
      <c r="I45" s="6" t="s">
        <v>253</v>
      </c>
      <c r="J45">
        <f t="shared" si="1"/>
        <v>14.799999999999272</v>
      </c>
      <c r="K45" s="6" t="s">
        <v>254</v>
      </c>
      <c r="L45" s="6" t="s">
        <v>255</v>
      </c>
      <c r="M45" s="6" t="s">
        <v>253</v>
      </c>
      <c r="N45" s="6" t="s">
        <v>254</v>
      </c>
      <c r="O45" s="6" t="s">
        <v>256</v>
      </c>
      <c r="P45" s="6" t="s">
        <v>17</v>
      </c>
      <c r="Q45">
        <v>1</v>
      </c>
      <c r="R45" s="6" t="s">
        <v>257</v>
      </c>
      <c r="S45">
        <f t="shared" si="2"/>
        <v>1.5033783783784522</v>
      </c>
      <c r="T45">
        <v>18143</v>
      </c>
    </row>
    <row r="46" spans="1:20" x14ac:dyDescent="0.25">
      <c r="A46" s="4">
        <v>45425</v>
      </c>
      <c r="B46" t="s">
        <v>23</v>
      </c>
      <c r="C46" t="s">
        <v>27</v>
      </c>
      <c r="D46" s="2">
        <v>0.44791666666666669</v>
      </c>
      <c r="E46" t="s">
        <v>8</v>
      </c>
      <c r="F46" t="s">
        <v>9</v>
      </c>
      <c r="G46" s="2" t="s">
        <v>13</v>
      </c>
      <c r="H46" s="6" t="s">
        <v>258</v>
      </c>
      <c r="I46" s="6" t="s">
        <v>259</v>
      </c>
      <c r="J46">
        <f t="shared" si="1"/>
        <v>10.5</v>
      </c>
      <c r="K46" s="6" t="s">
        <v>260</v>
      </c>
      <c r="L46" s="6" t="s">
        <v>261</v>
      </c>
      <c r="M46" s="6" t="s">
        <v>262</v>
      </c>
      <c r="N46" s="6" t="s">
        <v>263</v>
      </c>
      <c r="O46" s="6" t="s">
        <v>264</v>
      </c>
      <c r="P46" s="6" t="s">
        <v>17</v>
      </c>
      <c r="Q46">
        <v>1</v>
      </c>
      <c r="R46" s="6" t="s">
        <v>258</v>
      </c>
      <c r="S46">
        <f t="shared" si="2"/>
        <v>1</v>
      </c>
      <c r="T46">
        <v>18144.900000000001</v>
      </c>
    </row>
    <row r="47" spans="1:20" x14ac:dyDescent="0.25">
      <c r="A47" s="4">
        <v>45428</v>
      </c>
      <c r="B47" t="s">
        <v>25</v>
      </c>
      <c r="C47" t="s">
        <v>27</v>
      </c>
      <c r="D47" s="2">
        <v>0.4826388888888889</v>
      </c>
      <c r="E47" t="s">
        <v>28</v>
      </c>
      <c r="F47" t="s">
        <v>9</v>
      </c>
      <c r="G47" s="2" t="s">
        <v>30</v>
      </c>
      <c r="H47" s="6" t="s">
        <v>265</v>
      </c>
      <c r="I47" s="6" t="s">
        <v>266</v>
      </c>
      <c r="J47">
        <f t="shared" si="1"/>
        <v>15.799999999999272</v>
      </c>
      <c r="K47" s="6" t="s">
        <v>267</v>
      </c>
      <c r="L47" s="6" t="s">
        <v>266</v>
      </c>
      <c r="M47" s="6" t="s">
        <v>266</v>
      </c>
      <c r="N47" s="6" t="s">
        <v>268</v>
      </c>
      <c r="O47" s="6" t="s">
        <v>269</v>
      </c>
      <c r="P47" s="6" t="s">
        <v>32</v>
      </c>
      <c r="Q47">
        <v>0</v>
      </c>
      <c r="R47" s="6" t="s">
        <v>266</v>
      </c>
      <c r="S47">
        <f t="shared" si="2"/>
        <v>-1</v>
      </c>
      <c r="T47">
        <v>18562.099999999999</v>
      </c>
    </row>
    <row r="48" spans="1:20" x14ac:dyDescent="0.25">
      <c r="A48" s="4">
        <v>45429</v>
      </c>
      <c r="B48" t="s">
        <v>26</v>
      </c>
      <c r="C48" t="s">
        <v>27</v>
      </c>
      <c r="D48" s="2">
        <v>0.42083333333333334</v>
      </c>
      <c r="E48" t="s">
        <v>28</v>
      </c>
      <c r="F48" t="s">
        <v>9</v>
      </c>
      <c r="G48" s="2" t="s">
        <v>30</v>
      </c>
      <c r="H48" s="6" t="s">
        <v>270</v>
      </c>
      <c r="I48" s="6" t="s">
        <v>271</v>
      </c>
      <c r="J48">
        <f t="shared" si="1"/>
        <v>15.299999999999272</v>
      </c>
      <c r="K48" s="6" t="s">
        <v>272</v>
      </c>
      <c r="L48" s="6" t="s">
        <v>273</v>
      </c>
      <c r="M48" s="6" t="s">
        <v>271</v>
      </c>
      <c r="N48" s="6" t="s">
        <v>274</v>
      </c>
      <c r="O48" s="6" t="s">
        <v>275</v>
      </c>
      <c r="P48" s="6" t="s">
        <v>17</v>
      </c>
      <c r="Q48">
        <v>1</v>
      </c>
      <c r="R48">
        <v>18569.5</v>
      </c>
      <c r="S48">
        <f t="shared" si="2"/>
        <v>1.5</v>
      </c>
      <c r="T48">
        <v>18466.400000000001</v>
      </c>
    </row>
    <row r="49" spans="1:20" x14ac:dyDescent="0.25">
      <c r="A49" s="4">
        <v>45432</v>
      </c>
      <c r="B49" t="s">
        <v>23</v>
      </c>
      <c r="C49" t="s">
        <v>27</v>
      </c>
      <c r="D49" s="2">
        <v>0.4861111111111111</v>
      </c>
      <c r="E49" t="s">
        <v>28</v>
      </c>
      <c r="F49" t="s">
        <v>9</v>
      </c>
      <c r="G49" s="2" t="s">
        <v>30</v>
      </c>
      <c r="H49" s="6" t="s">
        <v>276</v>
      </c>
      <c r="I49" s="6" t="s">
        <v>277</v>
      </c>
      <c r="J49">
        <f t="shared" si="1"/>
        <v>16.30000000000291</v>
      </c>
      <c r="K49" s="6" t="s">
        <v>278</v>
      </c>
      <c r="L49" s="6" t="s">
        <v>279</v>
      </c>
      <c r="M49" s="6" t="s">
        <v>277</v>
      </c>
      <c r="N49" s="6" t="s">
        <v>280</v>
      </c>
      <c r="O49" s="6" t="s">
        <v>281</v>
      </c>
      <c r="P49" t="s">
        <v>17</v>
      </c>
      <c r="Q49">
        <v>1</v>
      </c>
      <c r="R49" s="6" t="s">
        <v>282</v>
      </c>
      <c r="S49">
        <f t="shared" si="2"/>
        <v>1.7392638036808048</v>
      </c>
      <c r="T49" s="6" t="s">
        <v>278</v>
      </c>
    </row>
    <row r="50" spans="1:20" x14ac:dyDescent="0.25">
      <c r="A50" s="4">
        <v>45441</v>
      </c>
      <c r="B50" t="s">
        <v>24</v>
      </c>
      <c r="C50" t="s">
        <v>27</v>
      </c>
      <c r="D50" s="2">
        <v>0.47916666666666669</v>
      </c>
      <c r="E50" t="s">
        <v>28</v>
      </c>
      <c r="F50" t="s">
        <v>9</v>
      </c>
      <c r="G50" s="2" t="s">
        <v>30</v>
      </c>
      <c r="H50" s="6" t="s">
        <v>283</v>
      </c>
      <c r="I50" s="6" t="s">
        <v>284</v>
      </c>
      <c r="J50">
        <f t="shared" si="1"/>
        <v>17.900000000001455</v>
      </c>
      <c r="K50" s="6" t="s">
        <v>285</v>
      </c>
      <c r="L50" s="6" t="s">
        <v>284</v>
      </c>
      <c r="M50" s="6" t="s">
        <v>284</v>
      </c>
      <c r="N50" s="6" t="s">
        <v>286</v>
      </c>
      <c r="O50" s="6" t="s">
        <v>287</v>
      </c>
      <c r="P50" s="6" t="s">
        <v>32</v>
      </c>
      <c r="Q50">
        <v>0</v>
      </c>
      <c r="R50" s="6" t="s">
        <v>284</v>
      </c>
      <c r="S50">
        <f t="shared" si="2"/>
        <v>-1</v>
      </c>
      <c r="T50">
        <v>18734.400000000001</v>
      </c>
    </row>
    <row r="51" spans="1:20" x14ac:dyDescent="0.25">
      <c r="A51" s="4">
        <v>45442</v>
      </c>
      <c r="B51" t="s">
        <v>25</v>
      </c>
      <c r="C51" t="s">
        <v>27</v>
      </c>
      <c r="D51" s="2">
        <v>0.37152777777777779</v>
      </c>
      <c r="E51" t="s">
        <v>28</v>
      </c>
      <c r="F51" t="s">
        <v>9</v>
      </c>
      <c r="G51" s="2" t="s">
        <v>30</v>
      </c>
      <c r="H51" s="6" t="s">
        <v>288</v>
      </c>
      <c r="I51" s="6" t="s">
        <v>289</v>
      </c>
      <c r="J51">
        <f t="shared" si="1"/>
        <v>20.5</v>
      </c>
      <c r="K51" s="6" t="s">
        <v>290</v>
      </c>
      <c r="L51" s="6" t="s">
        <v>289</v>
      </c>
      <c r="M51" s="6" t="s">
        <v>289</v>
      </c>
      <c r="N51" s="6" t="s">
        <v>290</v>
      </c>
      <c r="O51" s="6" t="s">
        <v>291</v>
      </c>
      <c r="P51" s="6" t="s">
        <v>32</v>
      </c>
      <c r="Q51">
        <v>0</v>
      </c>
      <c r="R51" s="6" t="s">
        <v>289</v>
      </c>
      <c r="S51">
        <f t="shared" si="2"/>
        <v>-1</v>
      </c>
      <c r="T51">
        <v>18499.3</v>
      </c>
    </row>
    <row r="52" spans="1:20" x14ac:dyDescent="0.25">
      <c r="A52" s="4">
        <v>45457</v>
      </c>
      <c r="B52" t="s">
        <v>26</v>
      </c>
      <c r="C52" t="s">
        <v>27</v>
      </c>
      <c r="D52" s="2">
        <v>0.44791666666666669</v>
      </c>
      <c r="E52" t="s">
        <v>8</v>
      </c>
      <c r="F52" t="s">
        <v>29</v>
      </c>
      <c r="G52" s="2" t="s">
        <v>30</v>
      </c>
      <c r="H52" s="6" t="s">
        <v>292</v>
      </c>
      <c r="I52" s="6" t="s">
        <v>293</v>
      </c>
      <c r="J52">
        <f t="shared" si="1"/>
        <v>37.799999999999272</v>
      </c>
      <c r="K52" s="6" t="s">
        <v>294</v>
      </c>
      <c r="L52" s="6" t="s">
        <v>295</v>
      </c>
      <c r="M52" s="6" t="s">
        <v>293</v>
      </c>
      <c r="N52" s="6" t="s">
        <v>296</v>
      </c>
      <c r="O52" s="6" t="s">
        <v>297</v>
      </c>
      <c r="P52" s="6" t="s">
        <v>16</v>
      </c>
      <c r="Q52">
        <v>0</v>
      </c>
      <c r="R52" s="6" t="s">
        <v>292</v>
      </c>
      <c r="S52">
        <f t="shared" si="2"/>
        <v>0</v>
      </c>
      <c r="T52" s="6" t="s">
        <v>294</v>
      </c>
    </row>
    <row r="53" spans="1:20" x14ac:dyDescent="0.25">
      <c r="A53" s="4">
        <v>45447</v>
      </c>
      <c r="B53" t="s">
        <v>12</v>
      </c>
      <c r="C53" t="s">
        <v>27</v>
      </c>
      <c r="D53" s="2">
        <v>0.44166666666666665</v>
      </c>
      <c r="E53" t="s">
        <v>28</v>
      </c>
      <c r="F53" t="s">
        <v>9</v>
      </c>
      <c r="G53" s="2" t="s">
        <v>30</v>
      </c>
      <c r="H53" s="6" t="s">
        <v>298</v>
      </c>
      <c r="I53" s="6" t="s">
        <v>299</v>
      </c>
      <c r="J53">
        <f t="shared" si="1"/>
        <v>43</v>
      </c>
      <c r="K53" s="6" t="s">
        <v>300</v>
      </c>
      <c r="L53" s="6" t="s">
        <v>301</v>
      </c>
      <c r="M53" s="6" t="s">
        <v>302</v>
      </c>
      <c r="N53" s="6" t="s">
        <v>304</v>
      </c>
      <c r="O53" s="6" t="s">
        <v>303</v>
      </c>
      <c r="P53" s="6" t="s">
        <v>17</v>
      </c>
      <c r="Q53">
        <v>1</v>
      </c>
      <c r="R53" s="6" t="s">
        <v>305</v>
      </c>
      <c r="S53" s="6">
        <f t="shared" si="2"/>
        <v>1.7534883720930148</v>
      </c>
      <c r="T53" s="6" t="s">
        <v>300</v>
      </c>
    </row>
    <row r="54" spans="1:20" x14ac:dyDescent="0.25">
      <c r="A54" s="4">
        <v>45448</v>
      </c>
      <c r="B54" t="s">
        <v>24</v>
      </c>
      <c r="C54" t="s">
        <v>27</v>
      </c>
      <c r="D54" s="2">
        <v>0.41388888888888886</v>
      </c>
      <c r="E54" t="s">
        <v>28</v>
      </c>
      <c r="F54" t="s">
        <v>9</v>
      </c>
      <c r="G54" s="2" t="s">
        <v>30</v>
      </c>
      <c r="H54" s="6" t="s">
        <v>306</v>
      </c>
      <c r="I54" s="6" t="s">
        <v>307</v>
      </c>
      <c r="J54">
        <f t="shared" si="1"/>
        <v>22.399999999997817</v>
      </c>
      <c r="K54" s="6" t="s">
        <v>308</v>
      </c>
      <c r="L54" s="6" t="s">
        <v>307</v>
      </c>
      <c r="M54" s="6" t="s">
        <v>307</v>
      </c>
      <c r="N54" s="6" t="s">
        <v>308</v>
      </c>
      <c r="O54" s="6" t="s">
        <v>309</v>
      </c>
      <c r="P54" s="6" t="s">
        <v>32</v>
      </c>
      <c r="Q54">
        <v>0</v>
      </c>
      <c r="R54" s="6" t="s">
        <v>307</v>
      </c>
      <c r="S54" s="6">
        <f t="shared" si="2"/>
        <v>-1</v>
      </c>
      <c r="T54" s="6" t="s">
        <v>308</v>
      </c>
    </row>
    <row r="55" spans="1:20" x14ac:dyDescent="0.25">
      <c r="A55" s="4">
        <v>45460</v>
      </c>
      <c r="B55" t="s">
        <v>23</v>
      </c>
      <c r="C55" t="s">
        <v>27</v>
      </c>
      <c r="D55" s="2">
        <v>0.44097222222222221</v>
      </c>
      <c r="E55" t="s">
        <v>28</v>
      </c>
      <c r="F55" t="s">
        <v>9</v>
      </c>
      <c r="G55" s="2" t="s">
        <v>30</v>
      </c>
      <c r="H55" s="6" t="s">
        <v>310</v>
      </c>
      <c r="I55" s="6" t="s">
        <v>311</v>
      </c>
      <c r="J55">
        <f t="shared" si="1"/>
        <v>57</v>
      </c>
      <c r="K55" s="6" t="s">
        <v>312</v>
      </c>
      <c r="L55" s="6" t="s">
        <v>313</v>
      </c>
      <c r="M55" s="6" t="s">
        <v>314</v>
      </c>
      <c r="N55" s="6" t="s">
        <v>315</v>
      </c>
      <c r="O55" s="6" t="s">
        <v>314</v>
      </c>
      <c r="P55" t="s">
        <v>17</v>
      </c>
      <c r="Q55">
        <v>1</v>
      </c>
      <c r="R55" s="6" t="s">
        <v>316</v>
      </c>
      <c r="S55" s="6">
        <f t="shared" si="2"/>
        <v>2.9552631578947497</v>
      </c>
      <c r="T55">
        <v>19990.099999999999</v>
      </c>
    </row>
    <row r="56" spans="1:20" x14ac:dyDescent="0.25">
      <c r="A56" s="4">
        <v>45461</v>
      </c>
      <c r="B56" t="s">
        <v>12</v>
      </c>
      <c r="C56" t="s">
        <v>27</v>
      </c>
      <c r="D56" s="2">
        <v>0.58333333333333337</v>
      </c>
      <c r="E56" t="s">
        <v>28</v>
      </c>
      <c r="F56" t="s">
        <v>9</v>
      </c>
      <c r="G56" s="2" t="s">
        <v>30</v>
      </c>
      <c r="H56" s="6" t="s">
        <v>317</v>
      </c>
      <c r="I56" s="6" t="s">
        <v>318</v>
      </c>
      <c r="J56">
        <f t="shared" si="1"/>
        <v>48.399999999997817</v>
      </c>
      <c r="K56" s="6" t="s">
        <v>320</v>
      </c>
      <c r="L56" s="6" t="s">
        <v>319</v>
      </c>
      <c r="M56" s="6" t="s">
        <v>321</v>
      </c>
      <c r="O56" s="6" t="s">
        <v>321</v>
      </c>
      <c r="P56" s="6" t="s">
        <v>17</v>
      </c>
      <c r="Q56">
        <v>0</v>
      </c>
      <c r="R56" s="6" t="s">
        <v>321</v>
      </c>
      <c r="S56" s="6">
        <f t="shared" si="2"/>
        <v>0.95661157024796195</v>
      </c>
      <c r="T56">
        <v>19959.400000000001</v>
      </c>
    </row>
    <row r="57" spans="1:20" x14ac:dyDescent="0.25">
      <c r="A57" s="4">
        <v>45462</v>
      </c>
      <c r="B57" t="s">
        <v>24</v>
      </c>
      <c r="C57" t="s">
        <v>27</v>
      </c>
      <c r="D57" s="2">
        <v>0.53472222222222221</v>
      </c>
      <c r="E57" t="s">
        <v>28</v>
      </c>
      <c r="F57" t="s">
        <v>9</v>
      </c>
      <c r="G57" s="2" t="s">
        <v>30</v>
      </c>
      <c r="H57" s="6" t="s">
        <v>323</v>
      </c>
      <c r="I57" s="6" t="s">
        <v>324</v>
      </c>
      <c r="J57">
        <f t="shared" si="1"/>
        <v>14.5</v>
      </c>
      <c r="K57">
        <v>20128.900000000001</v>
      </c>
      <c r="L57" s="6" t="s">
        <v>325</v>
      </c>
      <c r="M57" s="6" t="s">
        <v>326</v>
      </c>
      <c r="N57" s="6" t="s">
        <v>327</v>
      </c>
      <c r="P57" s="6" t="s">
        <v>17</v>
      </c>
      <c r="Q57">
        <v>1</v>
      </c>
      <c r="R57" s="6" t="s">
        <v>322</v>
      </c>
      <c r="S57" s="6">
        <f t="shared" si="2"/>
        <v>4.8551724137932037</v>
      </c>
      <c r="T57">
        <v>20128.900000000001</v>
      </c>
    </row>
    <row r="58" spans="1:20" x14ac:dyDescent="0.25">
      <c r="A58" s="4">
        <v>45464</v>
      </c>
      <c r="B58" t="s">
        <v>26</v>
      </c>
      <c r="C58" t="s">
        <v>27</v>
      </c>
      <c r="D58" s="2">
        <v>0.44791666666666669</v>
      </c>
      <c r="E58" t="s">
        <v>8</v>
      </c>
      <c r="F58" t="s">
        <v>29</v>
      </c>
      <c r="G58" s="2" t="s">
        <v>30</v>
      </c>
      <c r="H58" s="6" t="s">
        <v>328</v>
      </c>
      <c r="I58" s="6" t="s">
        <v>329</v>
      </c>
      <c r="J58">
        <f t="shared" si="1"/>
        <v>33.099999999998545</v>
      </c>
      <c r="K58" s="6" t="s">
        <v>330</v>
      </c>
      <c r="L58" s="6" t="s">
        <v>329</v>
      </c>
      <c r="M58" s="6" t="s">
        <v>329</v>
      </c>
      <c r="O58" s="6" t="s">
        <v>331</v>
      </c>
      <c r="P58" s="6" t="s">
        <v>32</v>
      </c>
      <c r="Q58">
        <v>0</v>
      </c>
      <c r="R58" s="6" t="s">
        <v>329</v>
      </c>
      <c r="S58" s="6">
        <f t="shared" si="2"/>
        <v>-1</v>
      </c>
      <c r="T58">
        <v>19720.8</v>
      </c>
    </row>
    <row r="59" spans="1:20" x14ac:dyDescent="0.25">
      <c r="A59" s="4">
        <v>45467</v>
      </c>
      <c r="B59" t="s">
        <v>23</v>
      </c>
      <c r="C59" t="s">
        <v>27</v>
      </c>
      <c r="D59" s="2">
        <v>0.4548611111111111</v>
      </c>
      <c r="E59" t="s">
        <v>8</v>
      </c>
      <c r="F59" t="s">
        <v>9</v>
      </c>
      <c r="G59" s="2" t="s">
        <v>13</v>
      </c>
      <c r="H59" s="6" t="s">
        <v>332</v>
      </c>
      <c r="I59" s="6" t="s">
        <v>333</v>
      </c>
      <c r="J59">
        <f t="shared" si="1"/>
        <v>87.299999999999272</v>
      </c>
      <c r="K59" s="6" t="s">
        <v>336</v>
      </c>
      <c r="L59" s="6" t="s">
        <v>335</v>
      </c>
      <c r="M59" s="6" t="s">
        <v>334</v>
      </c>
      <c r="N59" s="6" t="s">
        <v>337</v>
      </c>
      <c r="O59" s="6" t="s">
        <v>334</v>
      </c>
      <c r="P59" t="s">
        <v>17</v>
      </c>
      <c r="Q59">
        <v>0</v>
      </c>
      <c r="R59" s="6" t="s">
        <v>334</v>
      </c>
      <c r="S59" s="6">
        <f t="shared" si="2"/>
        <v>1.7571592210767781</v>
      </c>
      <c r="T59" s="6" t="s">
        <v>336</v>
      </c>
    </row>
    <row r="60" spans="1:20" x14ac:dyDescent="0.25">
      <c r="A60" s="4">
        <v>45468</v>
      </c>
      <c r="B60" t="s">
        <v>12</v>
      </c>
      <c r="C60" t="s">
        <v>27</v>
      </c>
      <c r="D60" s="2">
        <v>0.40416666666666667</v>
      </c>
      <c r="E60" t="s">
        <v>8</v>
      </c>
      <c r="F60" t="s">
        <v>9</v>
      </c>
      <c r="G60" s="2" t="s">
        <v>13</v>
      </c>
      <c r="H60" s="6" t="s">
        <v>338</v>
      </c>
      <c r="I60" s="6" t="s">
        <v>339</v>
      </c>
      <c r="J60">
        <f t="shared" si="1"/>
        <v>10.900000000001455</v>
      </c>
      <c r="K60" s="6" t="s">
        <v>340</v>
      </c>
      <c r="L60" s="6" t="s">
        <v>311</v>
      </c>
      <c r="M60" s="6" t="s">
        <v>339</v>
      </c>
      <c r="N60" s="6" t="s">
        <v>340</v>
      </c>
      <c r="O60" s="6" t="s">
        <v>341</v>
      </c>
      <c r="P60" t="s">
        <v>16</v>
      </c>
      <c r="Q60">
        <v>0</v>
      </c>
      <c r="R60" s="6" t="s">
        <v>338</v>
      </c>
      <c r="S60" s="6">
        <f t="shared" si="2"/>
        <v>0</v>
      </c>
      <c r="T60" s="6" t="s">
        <v>340</v>
      </c>
    </row>
    <row r="61" spans="1:20" x14ac:dyDescent="0.25">
      <c r="A61" s="4">
        <v>45469</v>
      </c>
      <c r="B61" t="s">
        <v>24</v>
      </c>
      <c r="C61" t="s">
        <v>27</v>
      </c>
      <c r="D61" s="2">
        <v>0.48055555555555557</v>
      </c>
      <c r="E61" t="s">
        <v>28</v>
      </c>
      <c r="F61" t="s">
        <v>9</v>
      </c>
      <c r="G61" s="2" t="s">
        <v>30</v>
      </c>
      <c r="H61" s="6" t="s">
        <v>342</v>
      </c>
      <c r="I61" s="6" t="s">
        <v>343</v>
      </c>
      <c r="J61">
        <f t="shared" si="1"/>
        <v>35.200000000000728</v>
      </c>
      <c r="K61" s="6" t="s">
        <v>344</v>
      </c>
      <c r="L61" s="6" t="s">
        <v>345</v>
      </c>
      <c r="M61" s="6" t="s">
        <v>343</v>
      </c>
      <c r="N61" s="6" t="s">
        <v>344</v>
      </c>
      <c r="O61" s="6" t="s">
        <v>346</v>
      </c>
      <c r="P61" t="s">
        <v>17</v>
      </c>
      <c r="Q61">
        <v>1</v>
      </c>
      <c r="R61" s="6" t="s">
        <v>342</v>
      </c>
      <c r="S61" s="6">
        <f t="shared" si="2"/>
        <v>1</v>
      </c>
      <c r="T61" s="6" t="s">
        <v>344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0D35F1A-56DF-4122-9050-0A220B28EBC6}">
          <x14:formula1>
            <xm:f>Foglio2!$A$1:$A$5</xm:f>
          </x14:formula1>
          <xm:sqref>B2:B1048576</xm:sqref>
        </x14:dataValidation>
        <x14:dataValidation type="list" allowBlank="1" showInputMessage="1" showErrorMessage="1" xr:uid="{AD8FE50A-309B-4EC1-A510-6D92545D43F1}">
          <x14:formula1>
            <xm:f>Foglio2!$B$1:$B$2</xm:f>
          </x14:formula1>
          <xm:sqref>C2:C1048576</xm:sqref>
        </x14:dataValidation>
        <x14:dataValidation type="list" allowBlank="1" showInputMessage="1" showErrorMessage="1" xr:uid="{E2D2C322-96A2-434E-AE42-9CD98F1BBB8C}">
          <x14:formula1>
            <xm:f>Foglio2!$C$1:$C$2</xm:f>
          </x14:formula1>
          <xm:sqref>E2:E1048576</xm:sqref>
        </x14:dataValidation>
        <x14:dataValidation type="list" allowBlank="1" showInputMessage="1" showErrorMessage="1" xr:uid="{AF257290-9D3C-4C21-B116-6E8B588A9964}">
          <x14:formula1>
            <xm:f>Foglio2!$D$1:$D$2</xm:f>
          </x14:formula1>
          <xm:sqref>F2:F1048576</xm:sqref>
        </x14:dataValidation>
        <x14:dataValidation type="list" allowBlank="1" showInputMessage="1" showErrorMessage="1" xr:uid="{50BB6E10-F582-4ED6-9B10-71779CB08C68}">
          <x14:formula1>
            <xm:f>Foglio2!$E$1:$E$2</xm:f>
          </x14:formula1>
          <xm:sqref>G2:G1048576</xm:sqref>
        </x14:dataValidation>
        <x14:dataValidation type="list" allowBlank="1" showInputMessage="1" showErrorMessage="1" xr:uid="{ED1F1726-BF91-4CE7-9E4D-C3BA5EC11AAF}">
          <x14:formula1>
            <xm:f>Foglio2!$F$1:$F$3</xm:f>
          </x14:formula1>
          <xm:sqref>P2:P1048576</xm:sqref>
        </x14:dataValidation>
        <x14:dataValidation type="list" allowBlank="1" showInputMessage="1" showErrorMessage="1" xr:uid="{BCCB2F98-D9F8-48BE-96BA-8D917BD8582B}">
          <x14:formula1>
            <xm:f>Foglio2!$G$1:$G$2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4119-1D2C-481E-B6EF-E1E3C8B87D2F}">
  <dimension ref="A1:G5"/>
  <sheetViews>
    <sheetView workbookViewId="0">
      <selection activeCell="E24" sqref="E24"/>
    </sheetView>
  </sheetViews>
  <sheetFormatPr defaultRowHeight="15" x14ac:dyDescent="0.25"/>
  <sheetData>
    <row r="1" spans="1:7" x14ac:dyDescent="0.25">
      <c r="A1" t="s">
        <v>23</v>
      </c>
      <c r="B1" t="s">
        <v>27</v>
      </c>
      <c r="C1" t="s">
        <v>28</v>
      </c>
      <c r="D1" t="s">
        <v>9</v>
      </c>
      <c r="E1" t="s">
        <v>30</v>
      </c>
      <c r="F1" t="s">
        <v>17</v>
      </c>
      <c r="G1">
        <v>1</v>
      </c>
    </row>
    <row r="2" spans="1:7" x14ac:dyDescent="0.25">
      <c r="A2" t="s">
        <v>12</v>
      </c>
      <c r="B2" t="s">
        <v>15</v>
      </c>
      <c r="C2" t="s">
        <v>8</v>
      </c>
      <c r="D2" t="s">
        <v>29</v>
      </c>
      <c r="E2" t="s">
        <v>13</v>
      </c>
      <c r="F2" t="s">
        <v>16</v>
      </c>
      <c r="G2">
        <v>0</v>
      </c>
    </row>
    <row r="3" spans="1:7" x14ac:dyDescent="0.25">
      <c r="A3" t="s">
        <v>24</v>
      </c>
      <c r="F3" t="s">
        <v>32</v>
      </c>
    </row>
    <row r="4" spans="1:7" x14ac:dyDescent="0.25">
      <c r="A4" t="s">
        <v>25</v>
      </c>
    </row>
    <row r="5" spans="1:7" x14ac:dyDescent="0.25">
      <c r="A5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Caputo</dc:creator>
  <cp:lastModifiedBy>Lorenzo Caputo</cp:lastModifiedBy>
  <dcterms:created xsi:type="dcterms:W3CDTF">2025-11-18T15:55:07Z</dcterms:created>
  <dcterms:modified xsi:type="dcterms:W3CDTF">2026-01-14T11:12:22Z</dcterms:modified>
</cp:coreProperties>
</file>